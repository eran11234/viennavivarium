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By Layer" sheetId="2" state="visible" r:id="rId4"/>
    <sheet name="Timeline" sheetId="3" state="visible" r:id="rId5"/>
    <sheet name="Top Authors" sheetId="4" state="visible" r:id="rId6"/>
    <sheet name="Most Cited" sheetId="5" state="visible" r:id="rId7"/>
    <sheet name="Convergence Axis" sheetId="6" state="visible" r:id="rId8"/>
    <sheet name="Rediscovery Targets" sheetId="7" state="visible" r:id="rId9"/>
    <sheet name="Citation Legacy" sheetId="8" state="visible" r:id="rId10"/>
    <sheet name="Verified Rediscovery" sheetId="9" state="visible" r:id="rId11"/>
    <sheet name="Legacy Summary (all 175)" sheetId="10" state="visible" r:id="rId12"/>
  </sheets>
  <definedNames>
    <definedName function="false" hidden="true" localSheetId="0" name="_xlnm._FilterDatabase" vbProcedure="false">Data!$A$1:$G$176</definedName>
    <definedName function="false" hidden="true" localSheetId="9" name="_xlnm._FilterDatabase" vbProcedure="false">'Legacy Summary (all 175)'!$A$1:$P$176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<sst xmlns="http://schemas.openxmlformats.org/spreadsheetml/2006/main" count="2755" uniqueCount="819">
  <si>
    <t xml:space="preserve">Year</t>
  </si>
  <si>
    <t xml:space="preserve">Author</t>
  </si>
  <si>
    <t xml:space="preserve">Author (full)</t>
  </si>
  <si>
    <t xml:space="preserve">Title</t>
  </si>
  <si>
    <t xml:space="preserve">Citations</t>
  </si>
  <si>
    <t xml:space="preserve">Legacy Layer</t>
  </si>
  <si>
    <t xml:space="preserve">Rationale (triggering modern paper)</t>
  </si>
  <si>
    <t xml:space="preserve">Kammerer</t>
  </si>
  <si>
    <t xml:space="preserve">Beitrag zur Erkenntnis der Verwandtschaftsverhältnisse von Salamandra atra und maculosa</t>
  </si>
  <si>
    <t xml:space="preserve">Layer 2</t>
  </si>
  <si>
    <t xml:space="preserve">Same broader taxon (Amphibia); different species. Citing: "The oviparous olm: Analysis &amp;amp; refutation of claims for viviparity in the cav"</t>
  </si>
  <si>
    <t xml:space="preserve">Biberhofer</t>
  </si>
  <si>
    <t xml:space="preserve">Über Regeneration des dritten Maxillipedes beim Flußkrebs (Astacus fluviatilis)</t>
  </si>
  <si>
    <t xml:space="preserve">Layer 4</t>
  </si>
  <si>
    <t xml:space="preserve">Modern engagement exists but does not align on species, taxon, or phenomenon; abstract logic only.</t>
  </si>
  <si>
    <t xml:space="preserve">Cerny</t>
  </si>
  <si>
    <t xml:space="preserve">Versuche Über Regeneration bei Süßwasserschnecken</t>
  </si>
  <si>
    <t xml:space="preserve">Same broader taxon (Mollusca); different species. Citing: "Zur Regeneration des Weichkörpers bei den Gastropoden"</t>
  </si>
  <si>
    <t xml:space="preserve">Czwiklitzer</t>
  </si>
  <si>
    <t xml:space="preserve">Zur Regeneration des Vorderendes von Ophryotrocha puerilis Clap.-Metsch</t>
  </si>
  <si>
    <t xml:space="preserve">Same broader taxon (Annelida); different species. Citing: "Direct demonstration of the existence of a metabolic gradient in annelids"</t>
  </si>
  <si>
    <t xml:space="preserve">Über die Abhängigkeit des Regenerationsvermögens der Amphibienlarven von Alter, Entwicklungsstadium und spezifischer Größe</t>
  </si>
  <si>
    <t xml:space="preserve">Same broader taxon (Amphibia); different species. Citing: "Advances in Environmental Monitoring and Ecosystem Health: Suggestions for the P"</t>
  </si>
  <si>
    <t xml:space="preserve">Przibram</t>
  </si>
  <si>
    <t xml:space="preserve">Die »Heterochelie« bei decapoden Crustaceen (zugleich: Experimentelle Studien Über Regeneration. Dritte Mitteilung)</t>
  </si>
  <si>
    <t xml:space="preserve">Same broader taxon (Crustacea); different species. Citing: "Morphological characterization and molecular phylogeny of Portunoidea Rafinesque"</t>
  </si>
  <si>
    <t xml:space="preserve">Werber</t>
  </si>
  <si>
    <t xml:space="preserve">Isaak Werber</t>
  </si>
  <si>
    <t xml:space="preserve">Regeneration der Kiefer bei der Eidechse Lacerta agilis</t>
  </si>
  <si>
    <t xml:space="preserve">Same broader taxon (Reptilia); different species. Citing: "Regeneration in Reptiles Generally and the New Zealand Tuatara in Particular as "</t>
  </si>
  <si>
    <t xml:space="preserve">Regeneration des exstirpierten Fühlers und Auges beim Mehlkäfer (Tenebrio molitor)</t>
  </si>
  <si>
    <t xml:space="preserve">Layer 1</t>
  </si>
  <si>
    <t xml:space="preserve">Modern citation engages same genus (tenebrio): "Regeneration der exstirpierten Flügel beim Mehlkäfer (Tenebrio molitor)"</t>
  </si>
  <si>
    <t xml:space="preserve">Über Regeneration bei Amphioxus Ianceolatus</t>
  </si>
  <si>
    <t xml:space="preserve">Layer 3</t>
  </si>
  <si>
    <t xml:space="preserve">Same phenomenon (Regeneration); different species and design. Citing: "Tail regeneration in a cephalochordate, the Bahamas lancelet, &lt;scp&gt; &lt;i&gt;Asymmetro"</t>
  </si>
  <si>
    <t xml:space="preserve">Bogacki</t>
  </si>
  <si>
    <t xml:space="preserve">Experimentelle Flossenregeneration bei europäischen Süßwasserfischen</t>
  </si>
  <si>
    <t xml:space="preserve">Same broader taxon (Fishes); different species. Citing: "Regeneration in Salaria pavo (Blenniidae, Teleostei)"</t>
  </si>
  <si>
    <t xml:space="preserve">Grosser</t>
  </si>
  <si>
    <t xml:space="preserve">Grosser/Przibram</t>
  </si>
  <si>
    <t xml:space="preserve">Einige Mißbildungen beim Dornhai (Acanthias vulgaris Risso)</t>
  </si>
  <si>
    <t xml:space="preserve">Hadzi</t>
  </si>
  <si>
    <t xml:space="preserve">Vorversuche zur Biologie von Hydra</t>
  </si>
  <si>
    <t xml:space="preserve">Modern citation engages same genus (hydra): "Transmission of symbiotic algae through sexual reproduction in hydra: Movement o"</t>
  </si>
  <si>
    <t xml:space="preserve">Experimentelle Veränderung der Fortpflanzungstätigkeit bei Geburtshelferkröte (Alytes obstetricans) und Laubfrosch (Hyla arborea)</t>
  </si>
  <si>
    <t xml:space="preserve">Same broader taxon (Amphibia); different species. Citing: "Sapo partero común – Alytes obstetricans (Laurenti, 1768)"</t>
  </si>
  <si>
    <t xml:space="preserve">Megušar</t>
  </si>
  <si>
    <t xml:space="preserve">Megusar</t>
  </si>
  <si>
    <t xml:space="preserve">Einfluß abnormaler Gravitationswirkung auf die Embryonalentwicklung bei Hydrophilus aterrimus Eschscholtz</t>
  </si>
  <si>
    <t xml:space="preserve">Same broader taxon (Coleoptera (beetles)); different species. Citing: "The effects of centrifugal force upon the eggs of some chrysomelid beetles"</t>
  </si>
  <si>
    <t xml:space="preserve">Aufzucht, Farbwechsel und Regeneration einer ägyptischen Gottesanbeterin (Sphodromantis bioculata Burm.)</t>
  </si>
  <si>
    <t xml:space="preserve">Modern citation engages same genus (sphodromantis): "Wachstumsmessungen an Sphodromantis bioculata Burm"</t>
  </si>
  <si>
    <t xml:space="preserve">Hans Przibram</t>
  </si>
  <si>
    <t xml:space="preserve">Kristall-Analogien zur Entwicklungsmechanik der Organismen</t>
  </si>
  <si>
    <t xml:space="preserve">Regeneration der Kiefer bei Reptilien und Amphibien</t>
  </si>
  <si>
    <t xml:space="preserve">Same broader taxon (Amphibia); different species. Citing: "Regeneration of lower jaws in adult newts"</t>
  </si>
  <si>
    <t xml:space="preserve">Czerny</t>
  </si>
  <si>
    <t xml:space="preserve">Versuche Über Regeneration bei Süßwasser- und Nacktschnecken</t>
  </si>
  <si>
    <t xml:space="preserve">Gluschkiewitsch</t>
  </si>
  <si>
    <t xml:space="preserve">Regeneration des Vorder- und Hinterendes der Clepsine tessulata</t>
  </si>
  <si>
    <t xml:space="preserve">Bastardierung von Flußbarsch (Perca fluviatilis L.) und Kaulbarsch (Acerina cernua L.)</t>
  </si>
  <si>
    <t xml:space="preserve">Modern citation engages same genus (perca): "First Record of Natural Hybridization and Introgression between Pikeperch (&lt;i&gt;Sa"</t>
  </si>
  <si>
    <t xml:space="preserve">Paul Kammerer</t>
  </si>
  <si>
    <t xml:space="preserve">Vererbung erzwungener Fortpflanzungsanpassungen</t>
  </si>
  <si>
    <t xml:space="preserve">Same phenomenon (Inheritance of acquired characteristics); different species and design. Citing: "&amp;amp;#8220;Centric&amp;amp;#8221; and &amp;amp;#8220;Excluding&amp;amp;#8221; Conceptions of"</t>
  </si>
  <si>
    <t xml:space="preserve">Symbiose zwischen Libellenlarve und Fadenalge</t>
  </si>
  <si>
    <t xml:space="preserve">Regeneration sekundärer Sexualcharaktere bei den Amphibien</t>
  </si>
  <si>
    <t xml:space="preserve">Same broader taxon (Amphibia); different species. Citing: "Equilibrium of animal form"</t>
  </si>
  <si>
    <t xml:space="preserve">Regeneration des Dipterenflügels beim Imago</t>
  </si>
  <si>
    <t xml:space="preserve">Klintz</t>
  </si>
  <si>
    <t xml:space="preserve">Regeneration der Antenne bei der Kellerassel (Porcellio scaber Latr.)</t>
  </si>
  <si>
    <t xml:space="preserve">Modern citation engages same genus (porcellio): "Morphological analysis of regenerated antennae in the isopod Porcellio scaber (I"</t>
  </si>
  <si>
    <t xml:space="preserve">Versuche über das geringe Regenerationsvermögen der Cyclopiden</t>
  </si>
  <si>
    <t xml:space="preserve">Same broader taxon (Crustacea); different species. Citing: "Die Vererbung von Abnormitäten bei Cyclops"</t>
  </si>
  <si>
    <t xml:space="preserve">Kryz</t>
  </si>
  <si>
    <t xml:space="preserve">Unabhängigkeit der Coagulationspunkte spezifischer Muskelplasmen von der Temperatur während des Lebens</t>
  </si>
  <si>
    <t xml:space="preserve">Regeneration der Tentakel und des Auges bei der Spitzschlammschnecke (Limnaea stagnalis L.)</t>
  </si>
  <si>
    <t xml:space="preserve">Regeneration des Caudalhorns bei der Seidenspinnerraupe Bombyx mori L.)</t>
  </si>
  <si>
    <t xml:space="preserve">Same phenomenon (Regeneration); different species and design. Citing: "Untersuchungen über die Regeneration von Larvalorganen und Imaginalscheiben bei "</t>
  </si>
  <si>
    <t xml:space="preserve">Die Regeneration der Coleopteren</t>
  </si>
  <si>
    <t xml:space="preserve">Same phenomenon (Regeneration); different species and design. Citing: "The sea spider &lt;i&gt;Pycnogonum litorale&lt;/i&gt; overturns the paradigm of the absence "</t>
  </si>
  <si>
    <t xml:space="preserve">Muftic</t>
  </si>
  <si>
    <t xml:space="preserve">Die Lungenregeneration bei Salamandra maculosa und einigen andern Amphibien</t>
  </si>
  <si>
    <t xml:space="preserve">Same phenomenon (Regeneration); different species and design. Citing: "Über Lungenregeneration bei Anurenlarven"</t>
  </si>
  <si>
    <t xml:space="preserve">Neudörfer</t>
  </si>
  <si>
    <t xml:space="preserve">Versuche Über die Anpassung von Süßwasserfischen an Salzwasser</t>
  </si>
  <si>
    <t xml:space="preserve">Same broader taxon (Fishes); different species. Citing: "The regulation of body volume in fresh‐water organisms"</t>
  </si>
  <si>
    <t xml:space="preserve">Differenzierung des Abdomens enthäuster Einsiedlerkrebse (Paguridae)</t>
  </si>
  <si>
    <t xml:space="preserve">Same broader taxon (Crustacea); different species. Citing: "Phylogeny of the Anomala (Crustacea, Decapoda, Reptantia) based on the ossicles "</t>
  </si>
  <si>
    <t xml:space="preserve">Automatischer Abwurf mißbildeter Regenerate bei Arthropoden</t>
  </si>
  <si>
    <t xml:space="preserve">Same broader taxon (Crustacea); different species. Citing: "Die »Scherenumkehr« bei decapoden Crustaceen (zugleich: Experimentelle Studien ü"</t>
  </si>
  <si>
    <t xml:space="preserve">Aufzucht, Farbwechsel und Regeneration unsrer europäischen Gottesanbeterin (Mantis religiosa L.)</t>
  </si>
  <si>
    <t xml:space="preserve">Same broader taxon (Orthoptera / Mantis); different species. Citing: "Habitat Preference of German&lt;i&gt;Mantis religiosa&lt;/i&gt;Populations (Mantodea: Mantid"</t>
  </si>
  <si>
    <t xml:space="preserve">Regenerationsversuche allgemeinerer Bedeutung bei Borstenschwänzen (Lepismatidae)</t>
  </si>
  <si>
    <t xml:space="preserve">Same phenomenon (Regeneration); different species and design. Citing: "Appendage loss and regeneration in arthropods: A comparative view"</t>
  </si>
  <si>
    <t xml:space="preserve">Vererbungsversuche über asymmetrische Augenfärbung bei Angorakatzen</t>
  </si>
  <si>
    <t xml:space="preserve">Same broader taxon (Mammals); different species. Citing: "Kristine Bonnevie's theories on the genetics of fingerprints, and their applicat"</t>
  </si>
  <si>
    <t xml:space="preserve">Die »Scherenumkehr« bei decapoden Crustaceen (zugleich: Experimentelle Studien über Regeneration. Vierte Mitteilung)</t>
  </si>
  <si>
    <t xml:space="preserve">Weindl</t>
  </si>
  <si>
    <t xml:space="preserve">Pigmententstehung auf Grund vorgebildeter Tyrosinasen</t>
  </si>
  <si>
    <t xml:space="preserve">Same phenomenon (Pigmentation / melanin biology); different species and design. Citing: "Das Problem der Pigmentbildung in der Haut"</t>
  </si>
  <si>
    <t xml:space="preserve">Weiss</t>
  </si>
  <si>
    <t xml:space="preserve">Weiss (Otto)</t>
  </si>
  <si>
    <t xml:space="preserve">Regeneration und Autotomie bei der Wasserspinne (Argyroneta aquatica Cl.)</t>
  </si>
  <si>
    <t xml:space="preserve">Same broader taxon (Arachnida); different species. Citing: "Epimorphosis and repair processes of schistomelic pedipalps and walking appendag"</t>
  </si>
  <si>
    <t xml:space="preserve">Regeneration der exstirpierten Flügel beim Mehlkäfer (Tenebrio molitor)</t>
  </si>
  <si>
    <t xml:space="preserve">Zuelzer</t>
  </si>
  <si>
    <t xml:space="preserve">Über den Einfluß der Regeneration auf die Wachstumsgeschwindigkeit von Asellus aquaticus L.</t>
  </si>
  <si>
    <t xml:space="preserve">Same phenomenon (Regeneration); different species and design. Citing: "Growth and Regeneration of the Second Antennae of Asellus Aquaticus (Isopoda) in"</t>
  </si>
  <si>
    <t xml:space="preserve">Mayerhofer</t>
  </si>
  <si>
    <t xml:space="preserve">Farbwechselversuche am Hechte (Esox lucius L.)</t>
  </si>
  <si>
    <t xml:space="preserve">Modern citation engages same genus (esox): "Veränderung der Melaninmenge beim Farbwechsel der Fische Esox, Carassius, Phoxin"</t>
  </si>
  <si>
    <t xml:space="preserve">Secerov</t>
  </si>
  <si>
    <t xml:space="preserve">Farbenwechselversuche an der Bartgrundel (Nemachilus barbatula L.)</t>
  </si>
  <si>
    <t xml:space="preserve">Same broader taxon (Fishes); different species. Citing: "Review of the Organismal Biology of Hill Stream Loaches"</t>
  </si>
  <si>
    <t xml:space="preserve">Thomsen</t>
  </si>
  <si>
    <t xml:space="preserve">Aufzucht, Farbwechsel und Regeneration der Gottesanbeterinnen (Mantidae)</t>
  </si>
  <si>
    <t xml:space="preserve">Same broader taxon (Orthoptera / Mantis); different species. Citing: "Wachstumsmessungen an Sphodromantis bioculata Burm"</t>
  </si>
  <si>
    <t xml:space="preserve">Werber/Goldschmidt</t>
  </si>
  <si>
    <t xml:space="preserve">Regeneration des Schnabels bei der Hausgans (Anser cinereus) und bei der Hausente (Anas boschas)</t>
  </si>
  <si>
    <t xml:space="preserve">Same phenomenon (Regeneration); different species and design. Citing: "Ein Beitrag zur Physiologie der Regeneration"</t>
  </si>
  <si>
    <t xml:space="preserve">Brescia</t>
  </si>
  <si>
    <t xml:space="preserve">Experimentelle Untersuchungen über die sekundären Sexualcharaktere der Tritonen</t>
  </si>
  <si>
    <t xml:space="preserve">Same phenomenon (Sex determination / sexual characters); different species and design. Citing: "Seasonal study of the normal and pituitary‐stimulated frog (Rana pipiens). I. Te"</t>
  </si>
  <si>
    <t xml:space="preserve">Fröhlich</t>
  </si>
  <si>
    <t xml:space="preserve">Farbwechselreaktionen bei Palaemon</t>
  </si>
  <si>
    <t xml:space="preserve">Same broader taxon (Crustacea); different species. Citing: "Color changes in crustaceans, especially in Palaemonetes"</t>
  </si>
  <si>
    <t xml:space="preserve">Halban</t>
  </si>
  <si>
    <t xml:space="preserve">Die Größenzunahme der Eier und Neugeborenen mit dem fortschreitenden Alter der Mutter</t>
  </si>
  <si>
    <t xml:space="preserve">Same phenomenon (Growth / size change); different species and design. Citing: "THE SIZE OF THE BODY AND THE SIZE OF THE ENVIRONMENT IN THE GROWTH OF TADPOLES"</t>
  </si>
  <si>
    <t xml:space="preserve">Die Wirkung äußerer Lebensbedingungen auf die organische Variation im Lichte der experimentellen Morphologie</t>
  </si>
  <si>
    <t xml:space="preserve">Same phenomenon (Morphology / anatomy); different species and design. Citing: "Feeding Experiments on tadpoles"</t>
  </si>
  <si>
    <t xml:space="preserve">Vererbung erzwungener Farbveränderungen</t>
  </si>
  <si>
    <t xml:space="preserve">Same broader taxon (Reptilia); different species. Citing: "Checklist of Croatian amphibians and reptiles with bibliography of 250 years of "</t>
  </si>
  <si>
    <t xml:space="preserve">Regeneration der Fang-, Schreit- und Sprungbeine bei der Aufzucht von Orthopteren</t>
  </si>
  <si>
    <t xml:space="preserve">Same broader taxon (Orthoptera / Mantis); different species. Citing: "Einige biometrische Untersuchungen zum Metamorphosegeschehen bei Acheta domestic"</t>
  </si>
  <si>
    <t xml:space="preserve">Die Verteilung formbildender Fähigkeiten am Tierkörper in dorso-ventraler Richtung</t>
  </si>
  <si>
    <t xml:space="preserve">Same phenomenon (Entwicklungsmechanik / experimental embryology); different species and design. Citing: "Über die Determination der ersten Organanlagen des Amphibienembryo I–VI"</t>
  </si>
  <si>
    <t xml:space="preserve">Die Homoeosis bei Arthropoden</t>
  </si>
  <si>
    <t xml:space="preserve">Winkler</t>
  </si>
  <si>
    <t xml:space="preserve">Studien über Pigmentbildung</t>
  </si>
  <si>
    <t xml:space="preserve">Same broader taxon (Amphibia); different species. Citing: "The regulation of skin‐pattern in an amphibian, Diemyctylus"</t>
  </si>
  <si>
    <t xml:space="preserve">Der Einfluß des Meerwassers auf die pulsierende Vacuole</t>
  </si>
  <si>
    <t xml:space="preserve">Congdon</t>
  </si>
  <si>
    <t xml:space="preserve">The surroundings of the germ plasm</t>
  </si>
  <si>
    <t xml:space="preserve">Same broader taxon (Mammals); different species. Citing: "Some studies of environmental influence, heredity, correlation and growth, in th"</t>
  </si>
  <si>
    <t xml:space="preserve">Hammerschlag</t>
  </si>
  <si>
    <t xml:space="preserve">Zuchtversuche mit japanischen Tanzmäusen und europäischen Laufmäusen</t>
  </si>
  <si>
    <t xml:space="preserve">Janda</t>
  </si>
  <si>
    <t xml:space="preserve">Die Regeneration der Geschlechtsorgane bei Criodrilus lacuum Hoffm. I</t>
  </si>
  <si>
    <t xml:space="preserve">Same broader taxon (Annelida); different species. Citing: "Annelids as models of germ cell and gonad regeneration"</t>
  </si>
  <si>
    <t xml:space="preserve">Die Regeneration der Geschlechtsorgane bei Criodrilus lacuum Hoffm. II</t>
  </si>
  <si>
    <t xml:space="preserve">Experimente über Fortpflanzung, Farbe, Augen und Körperreduction bei Proteus anguinus Laur</t>
  </si>
  <si>
    <t xml:space="preserve">Modern citation engages same genus (proteus): "Monitoring health and reproductive status of olms (Proteus anguinus) by ultrasou"</t>
  </si>
  <si>
    <t xml:space="preserve">Kurz</t>
  </si>
  <si>
    <t xml:space="preserve">Die beinbildenden Potenzen entwickelter Tritonen</t>
  </si>
  <si>
    <t xml:space="preserve">Experimente über den Farbwechsel der Crustaceen</t>
  </si>
  <si>
    <t xml:space="preserve">Same broader taxon (Crustacea); different species. Citing: "ENDOCRINE CONTROL IN THE CRUSTACEA"</t>
  </si>
  <si>
    <t xml:space="preserve">Morgulis</t>
  </si>
  <si>
    <t xml:space="preserve">Studien über Inanition in ihrer Bedeutung für das Wachstumsproblem</t>
  </si>
  <si>
    <t xml:space="preserve">Die Umwelt des Keimplasmas</t>
  </si>
  <si>
    <t xml:space="preserve">Przibram/Megusar</t>
  </si>
  <si>
    <t xml:space="preserve">Wachstumsmessungen an Sphodromantis bioculata Burm</t>
  </si>
  <si>
    <t xml:space="preserve">Modern citation engages same genus (sphodromantis): "Notes on the lifecycle and distribution of Sphodromantis gastrica (Stål, 1858) ("</t>
  </si>
  <si>
    <t xml:space="preserve">Weitere Farbwechsel- und Hauttransplantationsversuche an der Bartgrundel (Nemachilus barbatula L.)</t>
  </si>
  <si>
    <t xml:space="preserve">Same broader taxon (Fishes); different species. Citing: "Comparative assessment of immunological tolerance in fish with natural immunodef"</t>
  </si>
  <si>
    <t xml:space="preserve">Same broader taxon (Amphibia); different species. Citing: "Über den Einfluß der Umwelt auf die Eierstöcke der Tritonen"</t>
  </si>
  <si>
    <t xml:space="preserve">Uhlenhuth</t>
  </si>
  <si>
    <t xml:space="preserve">Die Transplantation des Amphibienauges</t>
  </si>
  <si>
    <t xml:space="preserve">Same broader taxon (Amphibia); different species. Citing: "Reimplantation and transplantation of adult eyes in the salamander (Triturus vir"</t>
  </si>
  <si>
    <t xml:space="preserve">FühlerÄhnliche Heteromorphosen an Stelle von Augen bei Stylopyga orientalis und Tenebrio molitor</t>
  </si>
  <si>
    <t xml:space="preserve">Modern citation engages same genus (tenebrio): "Über Restitutionserscheinungen an Stelle von Augen bei Tenebrio-Larven nach Zers"</t>
  </si>
  <si>
    <t xml:space="preserve">Vererbung erzwungener FarbverÄnderungen</t>
  </si>
  <si>
    <t xml:space="preserve">Same broader taxon (Amphibia); different species. Citing: "A salamander’s toxic arsenal: review of skin poison diversity and function in tr"</t>
  </si>
  <si>
    <t xml:space="preserve">Die Kammerprogression der Foraminiferen als Parallele zur HÄutungsprogression der Mantiden</t>
  </si>
  <si>
    <t xml:space="preserve">Die synchrone Metamorphose transplantierter Salamanderaugen</t>
  </si>
  <si>
    <t xml:space="preserve">Walther</t>
  </si>
  <si>
    <t xml:space="preserve">none</t>
  </si>
  <si>
    <t xml:space="preserve">No citations indexed in OpenAlex.</t>
  </si>
  <si>
    <t xml:space="preserve">Experimentelle Schwanzregeneration bei Bilchen (Myoxidae) und einigen andern Säugern</t>
  </si>
  <si>
    <t xml:space="preserve">Kornfeld</t>
  </si>
  <si>
    <t xml:space="preserve">Abhängigkeit der metamorphotischen Kiemenrückbildung vom Gesamtorganismus der Salamandra maculosa</t>
  </si>
  <si>
    <t xml:space="preserve">Modern citation engages same genus (salamandra): "Über das Leben der Salamandra-Larven bei hohem und niedrigem Sauerstoffpartialdr"</t>
  </si>
  <si>
    <t xml:space="preserve">Przibram/Walther</t>
  </si>
  <si>
    <t xml:space="preserve">Keine Größenzunahme der frischgeschlüpften Sphodromantis mit dem Alter der Mutter</t>
  </si>
  <si>
    <t xml:space="preserve">Sztern</t>
  </si>
  <si>
    <t xml:space="preserve">Steinach</t>
  </si>
  <si>
    <t xml:space="preserve">Pubertätsdrüsen und Zwitterbildung</t>
  </si>
  <si>
    <t xml:space="preserve">Same phenomenon (Sex determination / sexual characters); different species and design. Citing: "Gonad hormone functions, and the reciprocal influence between gonads and hypophy"</t>
  </si>
  <si>
    <t xml:space="preserve">Brecher</t>
  </si>
  <si>
    <t xml:space="preserve">Die Puppenfärbungen des Kohlweißlings, Pieris brassicae L.</t>
  </si>
  <si>
    <t xml:space="preserve">Same broader taxon (Lepidoptera); different species. Citing: "Hormonal control of pupal coloration in the painted lady butterfly Vanessa cardu"</t>
  </si>
  <si>
    <t xml:space="preserve">Same phenomenon (Growth / size change); different species and design. Citing: "Discussion on Growth and New Growth"</t>
  </si>
  <si>
    <t xml:space="preserve">K. Przibram</t>
  </si>
  <si>
    <t xml:space="preserve">Über die ungeordnete Bewegung niederer Tiere. II</t>
  </si>
  <si>
    <t xml:space="preserve">Temperaturquotienten für Lebenserscheinungen der Sphodromantis bioculata Burm</t>
  </si>
  <si>
    <t xml:space="preserve">Modern citation engages same genus (sphodromantis): "Fühlerregeneration halberwachsener Sphodromantis-Larven"</t>
  </si>
  <si>
    <t xml:space="preserve">Same broader taxon (Mammals); different species. Citing: "Lability of tail length of the white-footed mouse, Peromyscus leucopus noveborac"</t>
  </si>
  <si>
    <t xml:space="preserve">Transitäre Scherenformen der Winkerkrabbe, Gelasimus pugnax Smith</t>
  </si>
  <si>
    <t xml:space="preserve">Same broader taxon (Crustacea); different species. Citing: "Crustacea. Krebse"</t>
  </si>
  <si>
    <t xml:space="preserve">Fühlerregeneration halberwachsener Sphodromantis-Larven</t>
  </si>
  <si>
    <t xml:space="preserve">Same broader taxon (Orthoptera / Mantis); different species. Citing: "Central projections of a homoeotic regenerate, antennapedia, in a stick insect, "</t>
  </si>
  <si>
    <t xml:space="preserve">Dr. Franz Megusar</t>
  </si>
  <si>
    <t xml:space="preserve">Vererbung erzwungener Formveränderungen</t>
  </si>
  <si>
    <t xml:space="preserve">Tierische Regeneration als Wachstumsbeschleunigung</t>
  </si>
  <si>
    <t xml:space="preserve">Same phenomenon (Regeneration); different species and design. Citing: "REGENERATION IN THE CARAPACE OF DAPHNIA MAGNA"</t>
  </si>
  <si>
    <t xml:space="preserve">Fangbeine als Regenerate</t>
  </si>
  <si>
    <t xml:space="preserve">Same broader taxon (Orthoptera / Mantis); different species. Citing: "Die Bedingungen für Fühlerfüße bei Dixippus (Carausius) morosus Br. et Redt"</t>
  </si>
  <si>
    <t xml:space="preserve">Fußglieder an Käferfühlern</t>
  </si>
  <si>
    <t xml:space="preserve">Przibram/Brecher</t>
  </si>
  <si>
    <t xml:space="preserve">Ursachen tierischer Farbkleidung</t>
  </si>
  <si>
    <t xml:space="preserve">Przibram/Dembowski</t>
  </si>
  <si>
    <t xml:space="preserve">Konservierung der Tyrosinase durch Luftabschluß</t>
  </si>
  <si>
    <t xml:space="preserve">Same broader taxon (Fishes); different species. Citing: "Veränderung der Melaninmenge beim Farbwechsel der Fische Esox, Carassius, Phoxin"</t>
  </si>
  <si>
    <t xml:space="preserve">Eduard Uhlenhuth</t>
  </si>
  <si>
    <t xml:space="preserve">Studien zur Linsenregeneration bei den Amphibien. I. Ein Beitrag zur Depigmentierung der Iris, mit Bemerkungen über den Wert der Reizphysiologie</t>
  </si>
  <si>
    <t xml:space="preserve">Same broader taxon (Amphibia); different species. Citing: "Bildung einer überzähligen Linse bei Rana temporaria"</t>
  </si>
  <si>
    <t xml:space="preserve">Demoll</t>
  </si>
  <si>
    <t xml:space="preserve">Zur Frage nach der Vererbung vom Soma erworbener Eigenschaften</t>
  </si>
  <si>
    <t xml:space="preserve">Erdmann</t>
  </si>
  <si>
    <t xml:space="preserve">Endomixis and size variations in pure bred lines of paramaecium aurelia</t>
  </si>
  <si>
    <t xml:space="preserve">Kolmer</t>
  </si>
  <si>
    <t xml:space="preserve">Über den Befund einer zweiten Linse (Spontanlentoidbildung) im Auge eines Welses</t>
  </si>
  <si>
    <t xml:space="preserve">Same phenomenon (Entwicklungsmechanik / experimental embryology); different species and design. Citing: "Extra‐epidermal and supernumerary lenses in association with cyclopean eyes in A"</t>
  </si>
  <si>
    <t xml:space="preserve">Künstliche und natürliche Zwitterdrüsen und ihre analogen Wirkungen</t>
  </si>
  <si>
    <t xml:space="preserve">Same phenomenon (Sex determination / sexual characters); different species and design. Citing: "The past and future of “sex genes”"</t>
  </si>
  <si>
    <t xml:space="preserve">Histologische Beschaffenheit der Keimdrüse bei homosexuellen Männern</t>
  </si>
  <si>
    <t xml:space="preserve">Steinach/Kammerer</t>
  </si>
  <si>
    <t xml:space="preserve">Klima und Mannbarkeit</t>
  </si>
  <si>
    <t xml:space="preserve">Stieve</t>
  </si>
  <si>
    <t xml:space="preserve">Das Skelett eines Teilzwitters</t>
  </si>
  <si>
    <t xml:space="preserve">Studien zur Linsenregeneration bei den Amphibien</t>
  </si>
  <si>
    <t xml:space="preserve">Same broader taxon (Amphibia); different species. Citing: "Marked increase in the rate of ocular lens regeneration in the newt,&lt;i&gt;Cynops py"</t>
  </si>
  <si>
    <t xml:space="preserve">Die Puppenfärbungen des Kohlweißlings, Pieris brassicae L. Fünfter Teil: Kontrollversuche zur spezifischen Wirkung der Spektralbezirke mit anderen Faktoren</t>
  </si>
  <si>
    <t xml:space="preserve">Same broader taxon (Lepidoptera); different species. Citing: "Pupal colour plasticity in a tropical butterfly, Mycalesis mineus (Nymphalidae: "</t>
  </si>
  <si>
    <t xml:space="preserve">Die Puppenfärbungen des Kohlweißlings, Pieris brassicae L. Sechster Teil: Chemismus der Farbanpassung</t>
  </si>
  <si>
    <t xml:space="preserve">Modern citation engages same genus (pieris): "Die Puppenfärbungen des Kohlweißlings, Pieris brassicae L"</t>
  </si>
  <si>
    <t xml:space="preserve">Przibram/Dembowski/Brecher</t>
  </si>
  <si>
    <t xml:space="preserve">Einwirkung der Tyrosinase auf “Dopa” (zugleich: Ursachen tierischer Farbkleidung. IV)</t>
  </si>
  <si>
    <t xml:space="preserve">Same broader taxon (Lepidoptera); different species. Citing: "Über die Wirkung farbigen Lichtes auf die Puppen des Kohlweißlings (Pieris brass"</t>
  </si>
  <si>
    <t xml:space="preserve">Temperaturunabhängigkeit der weiblichen Periode und Gravidität bei Ratten, Mus decumanus und M. rattus</t>
  </si>
  <si>
    <t xml:space="preserve">Modern citation engages same genus (rattus): "Direkte Temperaturabhängigkeit der Schwanzlänge bei Ratten, Mus (Epimys) decuman"</t>
  </si>
  <si>
    <t xml:space="preserve">Die Bruch-Dreifachbildung im Tierreiche</t>
  </si>
  <si>
    <t xml:space="preserve">Same broader taxon (Crustacea); different species. Citing: "Naturally occurring abnormalities (Bruchdreifachbildungen) in the chelae of thre"</t>
  </si>
  <si>
    <t xml:space="preserve">Form und Geschwindigkeit. Ein Beitrag zur allgemeinen Morphologie. Die Naturwissenschaften</t>
  </si>
  <si>
    <t xml:space="preserve">Die Puppenfärbungen des Kohlweißlings, Pieris brassicae L</t>
  </si>
  <si>
    <t xml:space="preserve">Die Puppenfärbungen der Vanessiden (Vanessa Io, V. urticae, Pyrameis cardui, P. atalanta)</t>
  </si>
  <si>
    <t xml:space="preserve">Modern citation engages same genus (vanessa): "Hormonal control of pupal coloration in the painted lady butterfly Vanessa cardu"</t>
  </si>
  <si>
    <t xml:space="preserve">Hahn</t>
  </si>
  <si>
    <t xml:space="preserve">de Hahn</t>
  </si>
  <si>
    <t xml:space="preserve">Die Körpertemperatur junger Wanderratten (Mus decumanus) und ihre Beeinflussung durch die Temperatur der Außenwelt</t>
  </si>
  <si>
    <t xml:space="preserve">Same broader taxon (Mammals); different species. Citing: "The Post‐natal Development of the Genital Organs in the Albino Rat"</t>
  </si>
  <si>
    <t xml:space="preserve">Die Zeichnung von Salamandra maculosa im durchfallenden farbigen Licht</t>
  </si>
  <si>
    <t xml:space="preserve">Kudo</t>
  </si>
  <si>
    <t xml:space="preserve">Veränderung der Melaninmenge beim Farbwechsel der Fische Esox, Carassius, Phoxinus; Gobius; Nemachilus</t>
  </si>
  <si>
    <t xml:space="preserve">Same broader taxon (Fishes); different species. Citing: "On the Reappearance of Melanophores in Blind Goldfish"</t>
  </si>
  <si>
    <t xml:space="preserve">Versuche über Polaritätsumkehr am Tritonenbein</t>
  </si>
  <si>
    <t xml:space="preserve">Bierens de Haan; Przibram</t>
  </si>
  <si>
    <t xml:space="preserve">Erniedrigung der Körpertemperatur junger Wanderratten (Mus decumanus) durch chemische Mittel und ihr Einfluß auf die Schwanzlänge</t>
  </si>
  <si>
    <t xml:space="preserve">Same broader taxon (Mammals); different species. Citing: "Note on the Temperature of the Sloth"</t>
  </si>
  <si>
    <t xml:space="preserve">Der Einfluß gelber und schwarzer Umgebung der Larve auf die Fleckenzeichnung des Vollmolches von Salamandra maculosa Laur. forma typica</t>
  </si>
  <si>
    <t xml:space="preserve">Przibram / Brecher</t>
  </si>
  <si>
    <t xml:space="preserve">Die Farbmodifikationen der Stabheuschrecke Dixippus morosus Br. et Redt</t>
  </si>
  <si>
    <t xml:space="preserve">Modern citation engages same genus (dixippus): "Untersuchungen über den morphologischen und physiologischen Farbwechsel von Dixi"</t>
  </si>
  <si>
    <t xml:space="preserve">Verpuppung kopfloser Raupen von Tagfaltern</t>
  </si>
  <si>
    <t xml:space="preserve">Same broader taxon (Lepidoptera); different species. Citing: "Die Puppenfärbungen des Kohlweißlings, Pieris brassicae L"</t>
  </si>
  <si>
    <t xml:space="preserve">Veröffentlichungen über quantitative Biologie 1916–1919 in englischer Sprache</t>
  </si>
  <si>
    <t xml:space="preserve">Thomson</t>
  </si>
  <si>
    <t xml:space="preserve">Notes on the regeneration of the fore-limb in various Genera of Mantidae</t>
  </si>
  <si>
    <t xml:space="preserve">Same phenomenon (Regeneration); different species and design. Citing: "Regeneration und Transplantation bei Tieren"</t>
  </si>
  <si>
    <t xml:space="preserve">Finkler</t>
  </si>
  <si>
    <t xml:space="preserve">Kopftransplantation an Insekten</t>
  </si>
  <si>
    <t xml:space="preserve">Same phenomenon (Transplantation / replantation); different species and design. Citing: "Regeneration und Transplantation bei Tieren"</t>
  </si>
  <si>
    <t xml:space="preserve">Same phenomenon (Transplantation / replantation); different species and design. Citing: "Embryonale Transplantation zwischen Urodelen und Anuren"</t>
  </si>
  <si>
    <t xml:space="preserve">Jellinek</t>
  </si>
  <si>
    <t xml:space="preserve">Die Replantation von Augen</t>
  </si>
  <si>
    <t xml:space="preserve">Same broader taxon (Mammals); different species. Citing: "Notes on the application of experimental methods upon mammalian embryos"</t>
  </si>
  <si>
    <t xml:space="preserve">Koppanyi</t>
  </si>
  <si>
    <t xml:space="preserve">Same broader taxon (Amphibia); different species. Citing: "The origin and development of the chromatophores of the amphibian eye"</t>
  </si>
  <si>
    <t xml:space="preserve">Same phenomenon (Regeneration); different species and design. Citing: "Transplantation and Regeneration: their Bearing on Developmental Mechanics"</t>
  </si>
  <si>
    <t xml:space="preserve">Same phenomenon (Regeneration); different species and design. Citing: "Regeneration in The Vertebrate Central Nervous System"</t>
  </si>
  <si>
    <t xml:space="preserve">Die Methode autophorer Transplantation</t>
  </si>
  <si>
    <t xml:space="preserve">Die Transplantation von entwickelten Extremitäten bei Amphibien</t>
  </si>
  <si>
    <t xml:space="preserve">Same broader taxon (Amphibia); different species. Citing: "Further experimental investigations on the phenomenon of homologous response in "</t>
  </si>
  <si>
    <t xml:space="preserve">Same broader taxon (Amphibia); different species. Citing: "Über den Einfluss des Nervensystems auf die Entwicklung der Extremitäten von Ran"</t>
  </si>
  <si>
    <t xml:space="preserve">Wiesner</t>
  </si>
  <si>
    <t xml:space="preserve">Die Replantation der Kristallinse entwickelter Tiere</t>
  </si>
  <si>
    <t xml:space="preserve">Same phenomenon (Transplantation / replantation); different species and design. Citing: "Mutual size regulation between eyeball and lens in Amblystoma, studied by means "</t>
  </si>
  <si>
    <t xml:space="preserve">B. P. Wiesner</t>
  </si>
  <si>
    <t xml:space="preserve">Die Funktionsfähigkeit autophor transplantierter Ovarien bei Ratten</t>
  </si>
  <si>
    <t xml:space="preserve">Same broader taxon (Mammals); different species. Citing: "Studies on the oestrus‐producing hormone (oestrin)&lt;sup&gt;1&lt;/sup&gt;"</t>
  </si>
  <si>
    <t xml:space="preserve">Leonore Brecher</t>
  </si>
  <si>
    <t xml:space="preserve">Die Puppentärbungen der Vanessiden (Vanessa Io, V. utricae)</t>
  </si>
  <si>
    <t xml:space="preserve">Same broader taxon (Lepidoptera); different species. Citing: "Trade-offs between melanization, development time and adult size in Inachis io a"</t>
  </si>
  <si>
    <t xml:space="preserve">Die Bedingungen für Fühlerfüße bei Dixippus (Carausius) morosus Br. et Redt</t>
  </si>
  <si>
    <t xml:space="preserve">Modern citation engages same genus (dixippus): "Beitrag zur heteromorphen Regeneration bei Dixippus morosus"</t>
  </si>
  <si>
    <t xml:space="preserve">Ehrenpreis</t>
  </si>
  <si>
    <t xml:space="preserve">Milztransplantation an arterwachsenen Urodelen</t>
  </si>
  <si>
    <t xml:space="preserve">Versuche zur Biologie des Rippenmolches Pleurodeles Waltli Michah</t>
  </si>
  <si>
    <t xml:space="preserve">Koppányi</t>
  </si>
  <si>
    <t xml:space="preserve">Theodor Koppányi</t>
  </si>
  <si>
    <t xml:space="preserve">Erhaltung der Spermatogenese im autophor transplantierten Urodelenhoden</t>
  </si>
  <si>
    <t xml:space="preserve">Same broader taxon (Amphibia); different species. Citing: "Embryonale Transplantation zwischen Urodelen und Anuren"</t>
  </si>
  <si>
    <t xml:space="preserve">Die virtuelle und reelle Lage des Amphibienembryos nach natürlichen und künstlichen Marken am Ei des Alpenmolches, Triton alpestris</t>
  </si>
  <si>
    <t xml:space="preserve">Achsenverhältnisse und Entwicklungspotenzen der Urodelenextremitäten an Modellen zu Harrisons Transplantationsversuchen</t>
  </si>
  <si>
    <t xml:space="preserve">Same broader taxon (Amphibia); different species. Citing: "The effect of reversing the medio-lateral or transverse axis of the fore-limb bu"</t>
  </si>
  <si>
    <t xml:space="preserve">Die Rolle der Dopa in den Kokonen gewisser Nachtfalter und Blattwespen mit Bemerkungen über die chemischen Orte der Melaninbildung</t>
  </si>
  <si>
    <t xml:space="preserve">Same broader taxon (Hymenoptera); different species. Citing: "Beiträge zur Kenntnis der Morphologie, Anatomie und Biologie von Lophyrus pini L"</t>
  </si>
  <si>
    <t xml:space="preserve">Przibram / Wiesner</t>
  </si>
  <si>
    <t xml:space="preserve">Erhöhung der Körpertemperatur junger Wanderratten (Mus decumanus) über den Normalwert und ihr Einfluß auf die Schwanzlänge</t>
  </si>
  <si>
    <t xml:space="preserve">Die Funktion transplantierter Amphibienextremitäten</t>
  </si>
  <si>
    <t xml:space="preserve">Same broader taxon (Amphibia); different species. Citing: "The inductive activity of the spinal cord in urodele tail regeneration"</t>
  </si>
  <si>
    <t xml:space="preserve">Paul Weiß</t>
  </si>
  <si>
    <t xml:space="preserve">Regeneration an transplantierten Extremitäten entwickelter Amphibien</t>
  </si>
  <si>
    <t xml:space="preserve">Same broader taxon (Amphibia); different species. Citing: "Unabhängigkeit der Extremitätenregeneration vom Skelett (bei Triton cristatus)"</t>
  </si>
  <si>
    <t xml:space="preserve">Abolin</t>
  </si>
  <si>
    <t xml:space="preserve">Beeinflussung des Fischfarbwechsels durch Chemikalien</t>
  </si>
  <si>
    <t xml:space="preserve">Same broader taxon (Fishes); different species. Citing: "The development of the secondary sexual characters in the pink salmon (Oncorhync"</t>
  </si>
  <si>
    <t xml:space="preserve">Brecher / Winkler</t>
  </si>
  <si>
    <t xml:space="preserve">Übereinstimmung positiver und negativer Dopareaktiönen an Gefrierschnitten mit jenen an Extrakten</t>
  </si>
  <si>
    <t xml:space="preserve">Same phenomenon (Pigmentation / melanin biology); different species and design. Citing: "Das Pigment"</t>
  </si>
  <si>
    <t xml:space="preserve">Burt</t>
  </si>
  <si>
    <t xml:space="preserve">The head and foot of Pelmatohydra oligactis, pall., as unipotent systems</t>
  </si>
  <si>
    <t xml:space="preserve">Modern citation engages same genus (hydra): "The foot formation stimulating peptide pedibin is also involved in patterning of"</t>
  </si>
  <si>
    <t xml:space="preserve">Direkte Temperaturabhängigkeit der Schwanzlänge bei Ratten, Mus (Epimys) decumanus Pall. und M. (E.) rattus L.</t>
  </si>
  <si>
    <t xml:space="preserve">Same broader taxon (Mammals); different species. Citing: "Temperature-dependent Developmental Plasticity and Its Effects on Allen’s and Be"</t>
  </si>
  <si>
    <t xml:space="preserve">Die Schwanzlänge bei Ratten, Mus (Epimys) decumanus Pall. und M. (E.) rattus L., als fakultatives Geschlechtsmerkmal</t>
  </si>
  <si>
    <t xml:space="preserve">Same broader taxon (Mammals); different species. Citing: "Die Körpertemperatur beim männlichen und weiblichen. beim kastrierten und femini"</t>
  </si>
  <si>
    <t xml:space="preserve">Die Schwanzlänge der Nachkommen temperaturmodifizierter Ratten, Mus (Epimys) decumanus Pall. und M. (E.) rattus L.</t>
  </si>
  <si>
    <t xml:space="preserve">Das Anwachsen der relativen Schwanzlänge und dessen Temperaturquotient bei den Ratten Mus (Epimys) decumanus Pall. und M. (Ep.) rattus L.</t>
  </si>
  <si>
    <t xml:space="preserve">Same broader taxon (Mammals); different species. Citing: "Das Wachstum der weissen Ratte bis zur Geschlechtsreife bei Fleisch-, Pflanzen- "</t>
  </si>
  <si>
    <t xml:space="preserve">Same phenomenon (Transplantation / replantation); different species and design. Citing: "Observations upon the growth, function, and nerve supply of limbs when grafted t"</t>
  </si>
  <si>
    <t xml:space="preserve">Sato</t>
  </si>
  <si>
    <t xml:space="preserve">Sato / Brecher</t>
  </si>
  <si>
    <t xml:space="preserve">Kann Dopa oder Tyrosin das Chromogen bei Wirbeltieren abgeben?</t>
  </si>
  <si>
    <t xml:space="preserve">Sciacchitano</t>
  </si>
  <si>
    <t xml:space="preserve">Quando si forma la Dopa nei bozzoli di Lophyrus Pini L.</t>
  </si>
  <si>
    <t xml:space="preserve">Modern citation engages same genus (lophyrus): "Beiträge zur Kenntnis der Morphologie, Anatomie und Biologie von Lophyrus pini L"</t>
  </si>
  <si>
    <t xml:space="preserve">Abhängigkeit der Regeneration entwickelter Amphibien-extremitäten vom Nervensystem</t>
  </si>
  <si>
    <t xml:space="preserve">Same broader taxon (Amphibia); different species. Citing: "Morphological effects of denervation and amputation of limbs in urodele larvae"</t>
  </si>
  <si>
    <t xml:space="preserve">Unabhängigkeit der Extremitätenregeneration vom Skelett (bei Triton cristatus)</t>
  </si>
  <si>
    <t xml:space="preserve">Same broader taxon (Amphibia); different species. Citing: "Cells keep a memory of their tissue origin during axolotl limb regeneration"</t>
  </si>
  <si>
    <t xml:space="preserve">Die seitliche Regeneration der Urodelenextremität</t>
  </si>
  <si>
    <t xml:space="preserve">Same phenomenon (Regeneration); different species and design. Citing: "The regulative ability of the limb regeneration blastema ofNotophlhalmus virides"</t>
  </si>
  <si>
    <t xml:space="preserve">Winkelmessungen am Schmetterlingsflügel</t>
  </si>
  <si>
    <t xml:space="preserve">Same phenomenon (Regeneration); different species and design. Citing: "Die Regeneration der polycladen Turbellarien"</t>
  </si>
  <si>
    <t xml:space="preserve">Ganzregenerate aus Halbem Extremitätenquerschnitt</t>
  </si>
  <si>
    <t xml:space="preserve">Die Herkunft der Haut im Extremitätenregenerat</t>
  </si>
  <si>
    <t xml:space="preserve">Same phenomenon (Regeneration); different species and design. Citing: "Über die Rolle des Epithels in den anfänglichen Entwicklungsstadien einer Regene"</t>
  </si>
  <si>
    <t xml:space="preserve">Potenzprüfung am Regenerationsblastem</t>
  </si>
  <si>
    <t xml:space="preserve">Same phenomenon (Regeneration); different species and design. Citing: "Inducing Vertebrate Limb Regeneration: A Review of Past Advances and Future Outl"</t>
  </si>
  <si>
    <t xml:space="preserve">Abolins</t>
  </si>
  <si>
    <t xml:space="preserve">Abolins (Riga)</t>
  </si>
  <si>
    <t xml:space="preserve">Die Regeneration der am Fibularrande verstümmelten Beine bei Triton cristatus Laur</t>
  </si>
  <si>
    <t xml:space="preserve">Modern citation engages same genus (triton): "Die Regeneration der am Tibialrande oder median verst�mmelten Beine bei Triton c"</t>
  </si>
  <si>
    <t xml:space="preserve">Przibram Brecher</t>
  </si>
  <si>
    <t xml:space="preserve">Wachstumsmessungen an Sphodromantis bioculata Burm. IV. Zunahme der Facettengr�sse und -Anzahl.</t>
  </si>
  <si>
    <t xml:space="preserve">Same broader taxon (Orthoptera / Mantis); different species. Citing: "Orientation Behavior with and Without Visual Cues in Newly Hatched and Adult Pra"</t>
  </si>
  <si>
    <t xml:space="preserve">Burchhardt</t>
  </si>
  <si>
    <t xml:space="preserve">Regeneration und Symmetrie durch den Urodelenk�rper esteckter Gliedmassen</t>
  </si>
  <si>
    <t xml:space="preserve">Flat-Hauser Przibram</t>
  </si>
  <si>
    <t xml:space="preserve">Regeneration der langen Knochen nach teilweiser Entfernung im Innern der Molchextremit�ten (Triton cristatus Laur.)</t>
  </si>
  <si>
    <t xml:space="preserve">Modern citation engages same genus (triton): "Die Regeneration der am Fibularrande verstümmelten Beine bei Triton cristatus La"</t>
  </si>
  <si>
    <t xml:space="preserve">Wachstumsmessungen an Tenodera aridifolia Stoll., einer japanischen Fangheuschrecke</t>
  </si>
  <si>
    <t xml:space="preserve">Sciacchitano, Weiss, Przibram</t>
  </si>
  <si>
    <t xml:space="preserve">Die Regeneration der am Tibialrande oder median verst�mmelten Beine bei Triton cristatus Laur. und eine Heteromorphose des langen Knochens nach Ausschneidung des Fibularrandes</t>
  </si>
  <si>
    <t xml:space="preserve">Same phenomenon (Regeneration); different species and design. Citing: "Regeneration of Vertebrate Appendages"</t>
  </si>
  <si>
    <t xml:space="preserve">Staudinger</t>
  </si>
  <si>
    <t xml:space="preserve">Heteromorphosen an Stigmen und anderen Gebilden bei Carausius (Dixippus) morosus Brunner</t>
  </si>
  <si>
    <t xml:space="preserve">Same broader taxon (Orthoptera / Mantis); different species. Citing: "Modalit�s de formation et de d�veloppement d'un centre morphog�n�tique surnum�ra"</t>
  </si>
  <si>
    <t xml:space="preserve">Potenzpr�fung am Regenerationsblastem.</t>
  </si>
  <si>
    <t xml:space="preserve">Same broader taxon (Reptilia); different species. Citing: "Reactive nitrogen species-mediated cell proliferation during tail regeneration a"</t>
  </si>
  <si>
    <t xml:space="preserve">Methodological-Legacy Depth — by Layer</t>
  </si>
  <si>
    <t xml:space="preserve">Layer</t>
  </si>
  <si>
    <t xml:space="preserve">Meaning</t>
  </si>
  <si>
    <t xml:space="preserve">Count</t>
  </si>
  <si>
    <t xml:space="preserve">% of corpus</t>
  </si>
  <si>
    <t xml:space="preserve">Mean citations</t>
  </si>
  <si>
    <t xml:space="preserve">Median citations</t>
  </si>
  <si>
    <t xml:space="preserve">Max citations</t>
  </si>
  <si>
    <t xml:space="preserve">Same genus still studied (deepest)</t>
  </si>
  <si>
    <t xml:space="preserve">Same broader taxon, different genus</t>
  </si>
  <si>
    <t xml:space="preserve">Same phenomenon, unrelated organism</t>
  </si>
  <si>
    <t xml:space="preserve">Only perturb-and-observe logic survives</t>
  </si>
  <si>
    <t xml:space="preserve">No indexed citations</t>
  </si>
  <si>
    <t xml:space="preserve">TOTAL</t>
  </si>
  <si>
    <t xml:space="preserve">Publication output over time</t>
  </si>
  <si>
    <t xml:space="preserve">Decade</t>
  </si>
  <si>
    <t xml:space="preserve">Articles</t>
  </si>
  <si>
    <t xml:space="preserve">1900s</t>
  </si>
  <si>
    <t xml:space="preserve">1910s</t>
  </si>
  <si>
    <t xml:space="preserve">1920s</t>
  </si>
  <si>
    <t xml:space="preserve">1930s</t>
  </si>
  <si>
    <t xml:space="preserve">Most prolific authors (normalized surname)</t>
  </si>
  <si>
    <t xml:space="preserve">Total citations</t>
  </si>
  <si>
    <t xml:space="preserve">Top 20 most-cited BVA papers</t>
  </si>
  <si>
    <t xml:space="preserve">Convergence axis — is the same organism + test still studied today?</t>
  </si>
  <si>
    <t xml:space="preserve">Independent of citation. Built from OpenAlex (2000+). Heuristic, single-pass; verify via the per-paper DOIs.</t>
  </si>
  <si>
    <t xml:space="preserve">Axis</t>
  </si>
  <si>
    <t xml:space="preserve">C1 – Same species active</t>
  </si>
  <si>
    <t xml:space="preserve">Modern work on the exact species</t>
  </si>
  <si>
    <t xml:space="preserve">C2 – Same genus active</t>
  </si>
  <si>
    <t xml:space="preserve">Same genus still studied</t>
  </si>
  <si>
    <t xml:space="preserve">C2 – Same genus active (modern name)</t>
  </si>
  <si>
    <t xml:space="preserve">Same genus under modern name</t>
  </si>
  <si>
    <t xml:space="preserve">C3 – Related taxon active</t>
  </si>
  <si>
    <t xml:space="preserve">Same phenomenon, related animal</t>
  </si>
  <si>
    <t xml:space="preserve">C4 – Phenomenon only</t>
  </si>
  <si>
    <t xml:space="preserve">Same test, unrelated organism</t>
  </si>
  <si>
    <t xml:space="preserve">C5 – No modern parallel</t>
  </si>
  <si>
    <t xml:space="preserve">No modern parallel found</t>
  </si>
  <si>
    <t xml:space="preserve">Convergence axis  ×  citation-legacy layer  (highlighted = rediscovery zone: active organism, shallow citation)</t>
  </si>
  <si>
    <t xml:space="preserve">Convergence \ Layer</t>
  </si>
  <si>
    <t xml:space="preserve">Rediscovery targets (highlighted cells): 31 papers</t>
  </si>
  <si>
    <t xml:space="preserve">Rediscovery targets — same organism actively studied today, but BVA original shallowly cited</t>
  </si>
  <si>
    <t xml:space="preserve">BVA paper</t>
  </si>
  <si>
    <t xml:space="preserve">Organism</t>
  </si>
  <si>
    <t xml:space="preserve">Legacy layer</t>
  </si>
  <si>
    <t xml:space="preserve">Convergence</t>
  </si>
  <si>
    <t xml:space="preserve">Modern work doing similar things</t>
  </si>
  <si>
    <t xml:space="preserve">Top modern DOI</t>
  </si>
  <si>
    <t xml:space="preserve">Pieris brassicae</t>
  </si>
  <si>
    <t xml:space="preserve">Oviposition Preference for Young Plants by the Large Cabbage Butterfly (Pieris brassicae ) Does not Strongly Correlate with Caterpillar Performance</t>
  </si>
  <si>
    <t xml:space="preserve">10.1007/s10886-017-0853-9</t>
  </si>
  <si>
    <t xml:space="preserve">Modulation of flavonoid metabolites in Arabidopsis thaliana through overexpression of the MYB75 transcription factor: role of kaempferol-3,7-dirhamnoside in res</t>
  </si>
  <si>
    <t xml:space="preserve">10.1093/jxb/eru096</t>
  </si>
  <si>
    <t xml:space="preserve">Tenebrio molitor</t>
  </si>
  <si>
    <t xml:space="preserve">Anatomical changes of Tenebrio molitor and Tribolium castaneum during complete metamorphosis</t>
  </si>
  <si>
    <t xml:space="preserve">10.1007/s00441-024-03877-8</t>
  </si>
  <si>
    <t xml:space="preserve">Anas boschas</t>
  </si>
  <si>
    <t xml:space="preserve">Comparative study of the oviduct of pre-laying and laying Egyptian balady ducks (Anas boschas domesticus) using morphometry, immunohistochemistry, scanning, and</t>
  </si>
  <si>
    <t xml:space="preserve">10.1186/s12917-025-04991-7</t>
  </si>
  <si>
    <t xml:space="preserve">Bombyx mori</t>
  </si>
  <si>
    <t xml:space="preserve">Silk Fibers Extruded Artificially from Aqueous Solutions of Regenerated Bombyx mori Silk Fibroin are Tougher than their Natural Counterparts</t>
  </si>
  <si>
    <t xml:space="preserve">10.1002/adma.200800582</t>
  </si>
  <si>
    <t xml:space="preserve">Mantis</t>
  </si>
  <si>
    <t xml:space="preserve">Long Noncoding RNA MANTIS Facilitates Endothelial Angiogenic Function</t>
  </si>
  <si>
    <t xml:space="preserve">10.1161/circulationaha.116.026991</t>
  </si>
  <si>
    <t xml:space="preserve">Sphodromantis bioculata</t>
  </si>
  <si>
    <t xml:space="preserve">Alien mantids in a tropical paradise: First record of the giant mantis Sphodromantis viridis (Insecta, Mantodea) for the Canary Islands (Spain)</t>
  </si>
  <si>
    <t xml:space="preserve">10.3897/jor.32.96183</t>
  </si>
  <si>
    <t xml:space="preserve">Mantis shrimp saddle-mimetic amorphous calcium (zinc) phosphate/chitin scaffolds with superior mechanical properties and bioactivity for bone regeneration</t>
  </si>
  <si>
    <t xml:space="preserve">10.1016/j.bioactmat.2026.02.001</t>
  </si>
  <si>
    <t xml:space="preserve">Acanthias vulgaris</t>
  </si>
  <si>
    <t xml:space="preserve">Resurrection and redescription of Squalus suckleyi (Girard, 1854) from the North Pacific, with comments on the Squalus acanthias subgroup (Squaliformes: Squalid</t>
  </si>
  <si>
    <t xml:space="preserve">10.11646/zootaxa.2612.1.2</t>
  </si>
  <si>
    <t xml:space="preserve">Salamandra</t>
  </si>
  <si>
    <t xml:space="preserve">De novo transcriptome assembly and annotation for gene discovery in Salamandra salamandra at the larval stage</t>
  </si>
  <si>
    <t xml:space="preserve">10.1038/s41597-023-02217-9</t>
  </si>
  <si>
    <t xml:space="preserve">Triturus</t>
  </si>
  <si>
    <t xml:space="preserve">Reproductive characteristics of two Triturus species (Amphibia: Caudata)</t>
  </si>
  <si>
    <t xml:space="preserve">10.2298/abs200328026v</t>
  </si>
  <si>
    <t xml:space="preserve">Salamandra maculosa</t>
  </si>
  <si>
    <t xml:space="preserve">Salamandra Robotica II: An Amphibious Robot to Study Salamander-Like Swimming and Walking Gaits</t>
  </si>
  <si>
    <t xml:space="preserve">10.1109/tro.2012.2234311</t>
  </si>
  <si>
    <t xml:space="preserve">Mus</t>
  </si>
  <si>
    <t xml:space="preserve">Titrating the preferences of altered lighting against temperature in female CD-1 laboratory mice, Mus musculus</t>
  </si>
  <si>
    <t xml:space="preserve">10.1016/j.applanim.2021.105541</t>
  </si>
  <si>
    <t xml:space="preserve">Functional colour genes and signals of selection in colour‐polymorphic salamanders</t>
  </si>
  <si>
    <t xml:space="preserve">10.1111/mec.15411</t>
  </si>
  <si>
    <t xml:space="preserve">The identity of Proteus tritonius Laurenti, 1768: comments on a really doubtful case of literary interpretation</t>
  </si>
  <si>
    <t xml:space="preserve">10.3897/herpetozoa.39.e178255</t>
  </si>
  <si>
    <t xml:space="preserve">Amphioxus</t>
  </si>
  <si>
    <t xml:space="preserve">Photobiomodulation Therapy through a Novel Flat-Top Hand-Piece Prototype Improves Tissue Regeneration in Amphioxus (Branchiostoma lanceolatum): Proposal of an E</t>
  </si>
  <si>
    <t xml:space="preserve">10.3390/photonics9070503</t>
  </si>
  <si>
    <t xml:space="preserve">Phylogenomic inference of species and subspecies diversity in the Palearctic salamander genus Salamandra</t>
  </si>
  <si>
    <t xml:space="preserve">10.1016/j.ympev.2020.107063</t>
  </si>
  <si>
    <t xml:space="preserve">Astacus fluviatilis</t>
  </si>
  <si>
    <t xml:space="preserve">Structural and evolutionary insights into astacin metallopeptidases</t>
  </si>
  <si>
    <t xml:space="preserve">10.3389/fmolb.2022.1080836</t>
  </si>
  <si>
    <t xml:space="preserve">Molecular and spatial landmarks of early mouse skin development</t>
  </si>
  <si>
    <t xml:space="preserve">10.1016/j.devcel.2023.07.015</t>
  </si>
  <si>
    <t xml:space="preserve">Triton cristatus</t>
  </si>
  <si>
    <t xml:space="preserve">Morphological Variation in Pachytriton labiatus and a Re-Assessment of the Taxonomic Status of P. granulosus (Amphibia: Urodela: Salamandridae)</t>
  </si>
  <si>
    <t xml:space="preserve">10.3105/018.028.0202</t>
  </si>
  <si>
    <t xml:space="preserve">Sphodromantis</t>
  </si>
  <si>
    <t xml:space="preserve">Motion-in-depth perception and prey capture in the praying mantis Sphodromantis lineola</t>
  </si>
  <si>
    <t xml:space="preserve">10.1242/jeb.198614</t>
  </si>
  <si>
    <t xml:space="preserve">Pleurodeles</t>
  </si>
  <si>
    <t xml:space="preserve">Morphological Correlates of Locomotion in the Aquatic and the Terrestrial Phases of Pleurodeles waltl Newts from Southwestern Iberia</t>
  </si>
  <si>
    <t xml:space="preserve">10.3390/d15020188</t>
  </si>
  <si>
    <t xml:space="preserve">Mus decumanus</t>
  </si>
  <si>
    <t xml:space="preserve">Triton</t>
  </si>
  <si>
    <t xml:space="preserve">Needle in a haystack? A comparison of eDNA metabarcoding and targeted qPCR for detection of the great crested newt ( Triturus cristatus</t>
  </si>
  <si>
    <t xml:space="preserve">10.1002/ece3.4013</t>
  </si>
  <si>
    <t xml:space="preserve">Heterochromatin characterization of sex chromosomes in Triturus marmoratus (Urodela, Salamandridae)</t>
  </si>
  <si>
    <t xml:space="preserve">10.1159/000133327</t>
  </si>
  <si>
    <t xml:space="preserve">Clepsine tessulata</t>
  </si>
  <si>
    <t xml:space="preserve">Reproductive differences among species, and between individuals and cohorts, in the leech genus Helobdella (Lophotrochozoa; Annelida; Clitellata; Hirudinida; Gl</t>
  </si>
  <si>
    <t xml:space="preserve">10.1371/journal.pone.0214581</t>
  </si>
  <si>
    <t xml:space="preserve">Triton alpestris</t>
  </si>
  <si>
    <t xml:space="preserve">The effects of temperature and pH on the embryonic development of two species of Triturus (Caudata: Salamandridae)</t>
  </si>
  <si>
    <t xml:space="preserve">10.1163/156853807780202521</t>
  </si>
  <si>
    <t xml:space="preserve">Citation legacy — complete citing-works harvest (OpenAlex)</t>
  </si>
  <si>
    <t xml:space="preserve">2093 citing works across 175 papers · 89 historiographic · 149 engage the same organism</t>
  </si>
  <si>
    <t xml:space="preserve">Metric</t>
  </si>
  <si>
    <t xml:space="preserve">Value</t>
  </si>
  <si>
    <t xml:space="preserve">Papers</t>
  </si>
  <si>
    <t xml:space="preserve">Total citing works</t>
  </si>
  <si>
    <t xml:space="preserve">Scientific citations</t>
  </si>
  <si>
    <t xml:space="preserve">Historiographic citations</t>
  </si>
  <si>
    <t xml:space="preserve">Citations engaging same organism</t>
  </si>
  <si>
    <t xml:space="preserve">Papers with 0 same-organism citations</t>
  </si>
  <si>
    <t xml:space="preserve">Total modern parallels harvested</t>
  </si>
  <si>
    <t xml:space="preserve">Modern same-organism parallels</t>
  </si>
  <si>
    <t xml:space="preserve">…of those, NOT citing the original</t>
  </si>
  <si>
    <t xml:space="preserve">Most-cited papers (by OpenAlex cited_by_count)</t>
  </si>
  <si>
    <t xml:space="preserve">Cited by</t>
  </si>
  <si>
    <t xml:space="preserve">Sci</t>
  </si>
  <si>
    <t xml:space="preserve">Historiogr.</t>
  </si>
  <si>
    <t xml:space="preserve">Same-organism cites</t>
  </si>
  <si>
    <t xml:space="preserve">Verified rediscovery targets — organism actively studied today, but NO same-organism work cites the BVA original</t>
  </si>
  <si>
    <t xml:space="preserve">Strongest structural-amnesia signal. n = modern same-organism papers found (1990+); all verified non-citing.</t>
  </si>
  <si>
    <t xml:space="preserve">Modern same-organism papers</t>
  </si>
  <si>
    <t xml:space="preserve">Of which uncited</t>
  </si>
  <si>
    <t xml:space="preserve">Top modern DOIs</t>
  </si>
  <si>
    <t xml:space="preserve">10.1016/j.aanat.2023.152097; 10.7717/peerj.11535; 10.1111/acv.12733; 10.1111/evo.13743; 10.1016/j.cub.2018.12.049</t>
  </si>
  <si>
    <t xml:space="preserve">Pagurus hermit crab</t>
  </si>
  <si>
    <t xml:space="preserve">10.1016/j.marenvres.2016.11.011; 10.1016/j.jembe.2015.09.014; 10.1016/j.foodchem.2012.01.023; 10.1016/j.anbehav.2012.05.007; 10.1016/j.anbehav.2011.05.030</t>
  </si>
  <si>
    <t xml:space="preserve">Vanessa</t>
  </si>
  <si>
    <t xml:space="preserve">10.1073/pnas.2218280120; 10.1016/j.ygeno.2022.110481; 10.1073/pnas.2112009118; 10.3390/su132313214; 10.2196/games.9611</t>
  </si>
  <si>
    <t xml:space="preserve">10.2478/aut-2021-0059; 10.3389/fbioe.2021.653033; 10.1038/s41598-019-38712-6; 10.1186/s13065-019-0583-x; 10.1177/0885328219844978</t>
  </si>
  <si>
    <t xml:space="preserve">10.11646/zootaxa.4133.1.1; 10.1139/cjfas-2013-0342; 10.1016/j.dci.2011.10.007; 10.11646/zootaxa.2612.1.2; 10.1111/j.1365-294x.2010.04598.x</t>
  </si>
  <si>
    <t xml:space="preserve">10.3390/genes12091434; 10.1371/journal.pgen.1008959; 10.30802/aalas-cm-19-000034; 10.1007/s00412-019-00699-4; 10.1002/jnr.24496</t>
  </si>
  <si>
    <t xml:space="preserve">Lacerta</t>
  </si>
  <si>
    <t xml:space="preserve">10.1002/ar.25099; 10.1159/000506321; 10.1038/s41598-019-57084-5; 10.1163/15685381-bja10018; 10.13128/acta_herpetol-8532</t>
  </si>
  <si>
    <t xml:space="preserve">Odonata dragonfly larva</t>
  </si>
  <si>
    <t xml:space="preserve">10.1016/j.ympev.2021.107115; 10.1007/s13744-019-00672-x; 10.1007/s10750-017-3495-6; 10.1007/s10841-018-0093-5; 10.1016/j.ecolind.2017.06.010</t>
  </si>
  <si>
    <t xml:space="preserve">freshwater snail</t>
  </si>
  <si>
    <t xml:space="preserve">10.1080/24750263.2024.2310041; 10.1016/j.envpol.2023.121959; 10.1016/j.aquaculture.2023.740210; 10.1016/j.scitotenv.2022.159590; 10.1016/j.ecoenv.2022.114431</t>
  </si>
  <si>
    <t xml:space="preserve">10.30802/aalas-jaalas-23-000091; 10.1016/j.applanim.2021.105541; 10.1016/j.memsci.2021.119868; 10.20473/ovz.v10i1.2021.18-24; 10.3847/1538-4357/abde38</t>
  </si>
  <si>
    <t xml:space="preserve">10.3390/biom10040512; 10.1016/j.ympev.2020.107063; 10.1093/biolinnean/blaa020; 10.1093/iob/obaa015; 10.13128/acta_herpetol-3416</t>
  </si>
  <si>
    <t xml:space="preserve">10.1051/0004-6361/202244968; 10.1051/0004-6361/202245121; 10.1016/j.matt.2021.07.012; 10.1126/sciadv.abe3196; 10.1063/1.5115569</t>
  </si>
  <si>
    <t xml:space="preserve">slug gastropod</t>
  </si>
  <si>
    <t xml:space="preserve">10.1093/g3journal/jkaf164; 10.1371/journal.pone.0312407; 10.1016/j.apsb.2023.01.008; 10.1016/j.flowmeasinst.2023.102335; 10.1080/15476286.2021.1898176</t>
  </si>
  <si>
    <t xml:space="preserve">10.1098/rsos.251991; 10.5281/zenodo.19018591; 10.5281/zenodo.19018590; 10.5281/zenodo.20215053; 10.5281/zenodo.20215052</t>
  </si>
  <si>
    <t xml:space="preserve">10.1139/cjz-2024-0124; 10.1163/22244662-bja10122; 10.3390/pharmaceutics16020190; 10.1111/jeb.14155; 10.3390/d14060487</t>
  </si>
  <si>
    <t xml:space="preserve">10.1163/15685381-bja10082; 10.24189/ncr.2021.033; 10.23880/izab-16000306; 10.1007/s10592-020-01266-6; 10.1007/s12038-019-9950-y</t>
  </si>
  <si>
    <t xml:space="preserve">Limnaea stagnalis</t>
  </si>
  <si>
    <t xml:space="preserve">10.1016/j.nlm.2025.108048; 10.1002/etc.5728; 10.1159/000527489; 10.1007/s43939-021-00007-x; 10.1186/s12864-020-07287-2</t>
  </si>
  <si>
    <t xml:space="preserve">10.5358/hsj.44.55; 10.3390/d15020188; 10.1016/j.diff.2023.02.003; 10.1111/dgd.12820; 10.24272/j.issn.2095-8137.2021.186</t>
  </si>
  <si>
    <t xml:space="preserve">10.1038/s41598-025-06427-6; 10.1242/jeb.249296; 10.1186/s13568-025-01908-3; 10.3897/jor.32.96183; 10.17159/2254-8854/2022/a13967</t>
  </si>
  <si>
    <t xml:space="preserve">Rattus rat</t>
  </si>
  <si>
    <t xml:space="preserve">10.34297/ajbsr.2025.26.003448; 10.1051/bioconf/202516602008; 10.5455/ajvs.183386; 10.1002/biot.202300484; 10.14202/vetworld.2021.3056-3064</t>
  </si>
  <si>
    <t xml:space="preserve">10.1007/s12038-019-9950-y; 10.33256/hj29.2.8294; 10.13128/ijae-25468; 10.1016/j.ympev.2018.12.032; 10.2174/157016461204160119164729</t>
  </si>
  <si>
    <t xml:space="preserve">10.3390/foods14020217; 10.3390/app15179285; 10.1002/jat.4764; 10.1007/s00441-024-03877-8; 10.1016/j.jclepro.2024.142608</t>
  </si>
  <si>
    <t xml:space="preserve">Anser cinereus</t>
  </si>
  <si>
    <t xml:space="preserve">10.1038/s42003-025-07715-7; 10.1016/j.psj.2024.103424; 10.26873/svr-1711-2023; 10.1016/j.psj.2024.103933; 10.3390/genes14051048</t>
  </si>
  <si>
    <t xml:space="preserve">10.1002/ece3.9407; 10.1007/s00427-019-00635-7; 10.1093/gigascience/giy160; 10.18500/1814-6090-2017-17-1-2-3-9; 10.4067/s0717-95022016000200005</t>
  </si>
  <si>
    <t xml:space="preserve">Lacerta agilis</t>
  </si>
  <si>
    <t xml:space="preserve">10.1002/ece3.9407; 10.1007/s00427-019-00635-7; 10.18500/1814-6090-2017-17-1-2-3-9; 10.14720/ns.16.1.65-66; 10.1007/s10211-013-0148-2</t>
  </si>
  <si>
    <t xml:space="preserve">10.1016/j.fsi.2023.109185; 10.3389/fmolb.2022.1080836; 10.2478/eko-2022-0036; 10.26420/austinjnutrmetab.2021.1152; 10.7717/peerj.11838</t>
  </si>
  <si>
    <t xml:space="preserve">Esox</t>
  </si>
  <si>
    <t xml:space="preserve">10.1007/s11270-024-06894-z; 10.60910/vs0v-m1yt; 10.60910/xz9u-mz2h; 10.60910/ne5s-6mj6; 10.15547/bjvm.2392</t>
  </si>
  <si>
    <t xml:space="preserve">10.1016/j.bioactmat.2026.02.001; 10.1007/s42235-026-00926-6; 10.4314/met.v32i1.10; 10.1016/j.saa.2020.119223; 10.51200/jtbc.v16i0.2038</t>
  </si>
  <si>
    <t xml:space="preserve">Tenodera aridifolia</t>
  </si>
  <si>
    <t xml:space="preserve">10.1371/journal.pone.0098324; 10.1371/journal.pone.0067817; 10.1093/gigascience/giad090; 10.1371/journal.pcbi.1009618; 10.1155/2019/6180236</t>
  </si>
  <si>
    <t xml:space="preserve">10.1111/mec.16723; 10.1038/s41598-019-57084-5; 10.1080/20423489.2017.1408189; 10.1186/1471-2148-13-192; 10.1186/1471-2148-11-170</t>
  </si>
  <si>
    <t xml:space="preserve">10.1038/s41597-023-02217-9; 10.13128/acta_herpetol-12065; 10.13128/acta_herpetol-20147; 10.1038/hdy.2017.55; 10.1371/journal.pone.0128077</t>
  </si>
  <si>
    <t xml:space="preserve">10.1242/jeb.247419; 10.1371/journal.pone.0214581; 10.1371/journal.pone.0204234; 10.1002/dvdy.24621; 10.1093/molbev/mst201</t>
  </si>
  <si>
    <t xml:space="preserve">Ophryotrocha puerilis</t>
  </si>
  <si>
    <t xml:space="preserve">10.1016/j.dci.2023.105102; 10.1038/s41598-022-04870-3; 10.3354/aei00371; 10.1186/1742-9994-5-1; 10.1093/beheco/8.1.83</t>
  </si>
  <si>
    <t xml:space="preserve">10.1186/s13568-025-01908-3; 10.3897/jor.32.96183</t>
  </si>
  <si>
    <t xml:space="preserve">10.17159/2254-8854/2022/a13967</t>
  </si>
  <si>
    <t xml:space="preserve">Phenomena</t>
  </si>
  <si>
    <t xml:space="preserve">Convergence Axis</t>
  </si>
  <si>
    <t xml:space="preserve">Sci cites</t>
  </si>
  <si>
    <t xml:space="preserve">Same-org cites</t>
  </si>
  <si>
    <t xml:space="preserve">Parallels</t>
  </si>
  <si>
    <t xml:space="preserve">Same-org parallels</t>
  </si>
  <si>
    <t xml:space="preserve">Same-org uncited</t>
  </si>
  <si>
    <t xml:space="preserve">Rediscovery</t>
  </si>
  <si>
    <t xml:space="preserve">DOI</t>
  </si>
  <si>
    <t xml:space="preserve">regeneration, morphology</t>
  </si>
  <si>
    <t xml:space="preserve">10.1007/bf00580386</t>
  </si>
  <si>
    <t xml:space="preserve">regeneration</t>
  </si>
  <si>
    <t xml:space="preserve">10.1007/bf00580387</t>
  </si>
  <si>
    <t xml:space="preserve">regeneration, growth</t>
  </si>
  <si>
    <t xml:space="preserve">10.1007/bf00580388</t>
  </si>
  <si>
    <t xml:space="preserve">growth</t>
  </si>
  <si>
    <t xml:space="preserve">YES</t>
  </si>
  <si>
    <t xml:space="preserve">10.1007/bf00580389</t>
  </si>
  <si>
    <t xml:space="preserve">10.1007/bf00580390</t>
  </si>
  <si>
    <t xml:space="preserve">10.1007/bf00580391</t>
  </si>
  <si>
    <t xml:space="preserve">Carausius</t>
  </si>
  <si>
    <t xml:space="preserve">regeneration, heteromorphosis</t>
  </si>
  <si>
    <t xml:space="preserve">10.1007/bf00580392</t>
  </si>
  <si>
    <t xml:space="preserve">regeneration, transplantation</t>
  </si>
  <si>
    <t xml:space="preserve">10.1007/bf00580393</t>
  </si>
  <si>
    <t xml:space="preserve">10.1007/bf02079022</t>
  </si>
  <si>
    <t xml:space="preserve">Birds</t>
  </si>
  <si>
    <t xml:space="preserve">10.1007/bf02079102</t>
  </si>
  <si>
    <t xml:space="preserve">10.1007/bf02080952</t>
  </si>
  <si>
    <t xml:space="preserve">thermal_modification, growth</t>
  </si>
  <si>
    <t xml:space="preserve">10.1007/bf02093760</t>
  </si>
  <si>
    <t xml:space="preserve">thermal_modification</t>
  </si>
  <si>
    <t xml:space="preserve">10.1007/bf02093761</t>
  </si>
  <si>
    <t xml:space="preserve">light_effects</t>
  </si>
  <si>
    <t xml:space="preserve">10.1007/bf02093762</t>
  </si>
  <si>
    <t xml:space="preserve">10.1007/bf02093763</t>
  </si>
  <si>
    <t xml:space="preserve">10.1007/bf02093764</t>
  </si>
  <si>
    <t xml:space="preserve">Dixippus morosus</t>
  </si>
  <si>
    <t xml:space="preserve">10.1007/bf02093765</t>
  </si>
  <si>
    <t xml:space="preserve">10.1007/bf02093767</t>
  </si>
  <si>
    <t xml:space="preserve">Orthoptera / Mantis</t>
  </si>
  <si>
    <t xml:space="preserve">10.1007/bf02093768</t>
  </si>
  <si>
    <t xml:space="preserve">Lepidoptera</t>
  </si>
  <si>
    <t xml:space="preserve">10.1007/bf02093769</t>
  </si>
  <si>
    <t xml:space="preserve">Pyrameis cardui</t>
  </si>
  <si>
    <t xml:space="preserve">10.1007/bf02093770</t>
  </si>
  <si>
    <t xml:space="preserve">color_change, pigmentation</t>
  </si>
  <si>
    <t xml:space="preserve">10.1007/bf02093771</t>
  </si>
  <si>
    <t xml:space="preserve">10.1007/bf02093772</t>
  </si>
  <si>
    <t xml:space="preserve">10.1007/bf02108503</t>
  </si>
  <si>
    <t xml:space="preserve">Amphibia</t>
  </si>
  <si>
    <t xml:space="preserve">10.1007/bf02108504</t>
  </si>
  <si>
    <t xml:space="preserve">Fishes</t>
  </si>
  <si>
    <t xml:space="preserve">10.1007/bf02108505</t>
  </si>
  <si>
    <t xml:space="preserve">Annelida</t>
  </si>
  <si>
    <t xml:space="preserve">10.1007/bf02108506</t>
  </si>
  <si>
    <t xml:space="preserve">10.1007/bf02108507</t>
  </si>
  <si>
    <t xml:space="preserve">10.1007/bf02108508</t>
  </si>
  <si>
    <t xml:space="preserve">Mammals</t>
  </si>
  <si>
    <t xml:space="preserve">10.1007/bf02108509</t>
  </si>
  <si>
    <t xml:space="preserve">10.1007/bf02108510</t>
  </si>
  <si>
    <t xml:space="preserve">Coleoptera (beetles)</t>
  </si>
  <si>
    <t xml:space="preserve">transplantation</t>
  </si>
  <si>
    <t xml:space="preserve">10.1007/bf02108511</t>
  </si>
  <si>
    <t xml:space="preserve">10.1007/bf02108512</t>
  </si>
  <si>
    <t xml:space="preserve">10.1007/bf02108513</t>
  </si>
  <si>
    <t xml:space="preserve">transplantation, sex_determination</t>
  </si>
  <si>
    <t xml:space="preserve">10.1007/bf02108514</t>
  </si>
  <si>
    <t xml:space="preserve">10.1007/bf02108515</t>
  </si>
  <si>
    <t xml:space="preserve">10.1007/bf02108516</t>
  </si>
  <si>
    <t xml:space="preserve">10.1007/bf02161597</t>
  </si>
  <si>
    <t xml:space="preserve">Alytes</t>
  </si>
  <si>
    <t xml:space="preserve">inheritance_of_acquired</t>
  </si>
  <si>
    <t xml:space="preserve">10.1007/bf02162072</t>
  </si>
  <si>
    <t xml:space="preserve">Esox lucius</t>
  </si>
  <si>
    <t xml:space="preserve">color_change</t>
  </si>
  <si>
    <t xml:space="preserve">10.1007/bf02162073</t>
  </si>
  <si>
    <t xml:space="preserve">Sphodromantis mantis</t>
  </si>
  <si>
    <t xml:space="preserve">regeneration, color_change</t>
  </si>
  <si>
    <t xml:space="preserve">10.1007/bf02162074</t>
  </si>
  <si>
    <t xml:space="preserve">10.1007/bf02162075</t>
  </si>
  <si>
    <t xml:space="preserve">10.1007/bf02162076</t>
  </si>
  <si>
    <t xml:space="preserve">Salamandra atra</t>
  </si>
  <si>
    <t xml:space="preserve">10.1007/bf02162077</t>
  </si>
  <si>
    <t xml:space="preserve">10.1007/bf02162145</t>
  </si>
  <si>
    <t xml:space="preserve">10.1007/bf02162146</t>
  </si>
  <si>
    <t xml:space="preserve">10.1007/bf02162147</t>
  </si>
  <si>
    <t xml:space="preserve">10.1007/bf02162148</t>
  </si>
  <si>
    <t xml:space="preserve">Crustacea</t>
  </si>
  <si>
    <t xml:space="preserve">10.1007/bf02162149</t>
  </si>
  <si>
    <t xml:space="preserve">10.1007/bf02162150</t>
  </si>
  <si>
    <t xml:space="preserve">10.1007/bf02162151</t>
  </si>
  <si>
    <t xml:space="preserve">10.1007/bf02162320</t>
  </si>
  <si>
    <t xml:space="preserve">10.1007/bf02162321</t>
  </si>
  <si>
    <t xml:space="preserve">10.1007/bf02162322</t>
  </si>
  <si>
    <t xml:space="preserve">10.1007/bf02162323</t>
  </si>
  <si>
    <t xml:space="preserve">Hydra</t>
  </si>
  <si>
    <t xml:space="preserve">10.1007/bf02162324</t>
  </si>
  <si>
    <t xml:space="preserve">Alytes obstetricans</t>
  </si>
  <si>
    <t xml:space="preserve">10.1007/bf02162325</t>
  </si>
  <si>
    <t xml:space="preserve">gravity_effects, developmental_mechanics</t>
  </si>
  <si>
    <t xml:space="preserve">10.1007/bf02162326</t>
  </si>
  <si>
    <t xml:space="preserve">10.1007/bf02162327</t>
  </si>
  <si>
    <t xml:space="preserve">developmental_mechanics</t>
  </si>
  <si>
    <t xml:space="preserve">10.1007/bf02162328</t>
  </si>
  <si>
    <t xml:space="preserve">10.1007/bf02189254</t>
  </si>
  <si>
    <t xml:space="preserve">behavior</t>
  </si>
  <si>
    <t xml:space="preserve">10.1007/bf02189255</t>
  </si>
  <si>
    <t xml:space="preserve">10.1007/bf02189256</t>
  </si>
  <si>
    <t xml:space="preserve">thermal_modification, developmental_mechanics</t>
  </si>
  <si>
    <t xml:space="preserve">10.1007/bf02189257</t>
  </si>
  <si>
    <t xml:space="preserve">heteromorphosis</t>
  </si>
  <si>
    <t xml:space="preserve">10.1007/bf02189258</t>
  </si>
  <si>
    <t xml:space="preserve">10.1007/bf02189259</t>
  </si>
  <si>
    <t xml:space="preserve">10.1007/bf02189260</t>
  </si>
  <si>
    <t xml:space="preserve">10.1007/bf02189261</t>
  </si>
  <si>
    <t xml:space="preserve">regeneration, behavior</t>
  </si>
  <si>
    <t xml:space="preserve">10.1007/bf02254264</t>
  </si>
  <si>
    <t xml:space="preserve">10.1007/bf02254265</t>
  </si>
  <si>
    <t xml:space="preserve">10.1007/bf02254266</t>
  </si>
  <si>
    <t xml:space="preserve">10.1007/bf02254267</t>
  </si>
  <si>
    <t xml:space="preserve">Pelmatohydra oligactis</t>
  </si>
  <si>
    <t xml:space="preserve">10.1007/bf02254268</t>
  </si>
  <si>
    <t xml:space="preserve">10.1007/bf02254269</t>
  </si>
  <si>
    <t xml:space="preserve">sex_determination, thermal_modification</t>
  </si>
  <si>
    <t xml:space="preserve">10.1007/bf02254270</t>
  </si>
  <si>
    <t xml:space="preserve">10.1007/bf02254271</t>
  </si>
  <si>
    <t xml:space="preserve">10.1007/bf02254272</t>
  </si>
  <si>
    <t xml:space="preserve">pigmentation</t>
  </si>
  <si>
    <t xml:space="preserve">10.1007/bf02254273</t>
  </si>
  <si>
    <t xml:space="preserve">10.1007/bf02254274</t>
  </si>
  <si>
    <t xml:space="preserve">Hymenoptera</t>
  </si>
  <si>
    <t xml:space="preserve">10.1007/bf02254275</t>
  </si>
  <si>
    <t xml:space="preserve">10.1007/bf02254276</t>
  </si>
  <si>
    <t xml:space="preserve">10.1007/bf02254277</t>
  </si>
  <si>
    <t xml:space="preserve">morphology</t>
  </si>
  <si>
    <t xml:space="preserve">10.1007/bf02263792</t>
  </si>
  <si>
    <t xml:space="preserve">regeneration, developmental_mechanics</t>
  </si>
  <si>
    <t xml:space="preserve">10.1007/bf02263793</t>
  </si>
  <si>
    <t xml:space="preserve">10.1007/bf02266716</t>
  </si>
  <si>
    <t xml:space="preserve">10.1007/bf02266717</t>
  </si>
  <si>
    <t xml:space="preserve">10.1007/bf02266718</t>
  </si>
  <si>
    <t xml:space="preserve">Salamandra salamander</t>
  </si>
  <si>
    <t xml:space="preserve">10.1007/bf02266719</t>
  </si>
  <si>
    <t xml:space="preserve">10.1007/bf02266720</t>
  </si>
  <si>
    <t xml:space="preserve">10.1007/bf02287856</t>
  </si>
  <si>
    <t xml:space="preserve">regeneration, sex_determination</t>
  </si>
  <si>
    <t xml:space="preserve">10.1007/bf02287857</t>
  </si>
  <si>
    <t xml:space="preserve">Proteus anguinus</t>
  </si>
  <si>
    <t xml:space="preserve">regeneration, inheritance_of_acquired</t>
  </si>
  <si>
    <t xml:space="preserve">10.1007/bf02287858</t>
  </si>
  <si>
    <t xml:space="preserve">10.1007/bf02287859</t>
  </si>
  <si>
    <t xml:space="preserve">10.1007/bf02287860</t>
  </si>
  <si>
    <t xml:space="preserve">10.1007/bf02287861</t>
  </si>
  <si>
    <t xml:space="preserve">10.1007/bf02287862</t>
  </si>
  <si>
    <t xml:space="preserve">transplantation, color_change</t>
  </si>
  <si>
    <t xml:space="preserve">10.1007/bf02287863</t>
  </si>
  <si>
    <t xml:space="preserve">10.1007/bf02287864</t>
  </si>
  <si>
    <t xml:space="preserve">10.1007/bf02288308</t>
  </si>
  <si>
    <t xml:space="preserve">Perca fluviatilis</t>
  </si>
  <si>
    <t xml:space="preserve">hybridization</t>
  </si>
  <si>
    <t xml:space="preserve">10.1007/bf02288309</t>
  </si>
  <si>
    <t xml:space="preserve">Porcellio scaber</t>
  </si>
  <si>
    <t xml:space="preserve">10.1007/bf02288310</t>
  </si>
  <si>
    <t xml:space="preserve">10.1007/bf02288311</t>
  </si>
  <si>
    <t xml:space="preserve">salinity_osmotic</t>
  </si>
  <si>
    <t xml:space="preserve">10.1007/bf02288312</t>
  </si>
  <si>
    <t xml:space="preserve">10.1007/bf02288313</t>
  </si>
  <si>
    <t xml:space="preserve">10.1007/bf02288314</t>
  </si>
  <si>
    <t xml:space="preserve">Mantis religiosa</t>
  </si>
  <si>
    <t xml:space="preserve">10.1007/bf02288315</t>
  </si>
  <si>
    <t xml:space="preserve">10.1007/bf02288316</t>
  </si>
  <si>
    <t xml:space="preserve">10.1007/bf02288317</t>
  </si>
  <si>
    <t xml:space="preserve">Argyroneta aquatica</t>
  </si>
  <si>
    <t xml:space="preserve">10.1007/bf02288318</t>
  </si>
  <si>
    <t xml:space="preserve">sex_determination</t>
  </si>
  <si>
    <t xml:space="preserve">10.1007/bf02288352</t>
  </si>
  <si>
    <t xml:space="preserve">10.1007/bf02288353</t>
  </si>
  <si>
    <t xml:space="preserve">10.1007/bf02288354</t>
  </si>
  <si>
    <t xml:space="preserve">10.1007/bf02288355</t>
  </si>
  <si>
    <t xml:space="preserve">10.1007/bf02288356</t>
  </si>
  <si>
    <t xml:space="preserve">10.1007/bf02288357</t>
  </si>
  <si>
    <t xml:space="preserve">transplantation, pigmentation</t>
  </si>
  <si>
    <t xml:space="preserve">10.1007/bf02288358</t>
  </si>
  <si>
    <t xml:space="preserve">10.1007/bf02288359</t>
  </si>
  <si>
    <t xml:space="preserve">10.1007/bf02292159</t>
  </si>
  <si>
    <t xml:space="preserve">10.1007/bf02292160</t>
  </si>
  <si>
    <t xml:space="preserve">10.1007/bf02292161</t>
  </si>
  <si>
    <t xml:space="preserve">10.1007/bf02292162</t>
  </si>
  <si>
    <t xml:space="preserve">10.1007/bf02292163</t>
  </si>
  <si>
    <t xml:space="preserve">10.1007/bf02292164</t>
  </si>
  <si>
    <t xml:space="preserve">10.1007/bf02292165</t>
  </si>
  <si>
    <t xml:space="preserve">10.1007/bf02292166</t>
  </si>
  <si>
    <t xml:space="preserve">10.1007/bf02292167</t>
  </si>
  <si>
    <t xml:space="preserve">10.1007/bf02292168</t>
  </si>
  <si>
    <t xml:space="preserve">10.1007/bf02292169</t>
  </si>
  <si>
    <t xml:space="preserve">10.1007/bf02292170</t>
  </si>
  <si>
    <t xml:space="preserve">10.1007/bf02292171</t>
  </si>
  <si>
    <t xml:space="preserve">10.1007/bf02292172</t>
  </si>
  <si>
    <t xml:space="preserve">10.1007/bf02292208</t>
  </si>
  <si>
    <t xml:space="preserve">10.1007/bf02292209</t>
  </si>
  <si>
    <t xml:space="preserve">10.1007/bf02292210</t>
  </si>
  <si>
    <t xml:space="preserve">10.1007/bf02292211</t>
  </si>
  <si>
    <t xml:space="preserve">sex_determination, developmental_mechanics</t>
  </si>
  <si>
    <t xml:space="preserve">10.1007/bf02292212</t>
  </si>
  <si>
    <t xml:space="preserve">10.1007/bf02292745</t>
  </si>
  <si>
    <t xml:space="preserve">10.1007/bf02292746</t>
  </si>
  <si>
    <t xml:space="preserve">10.1007/bf02292747</t>
  </si>
  <si>
    <t xml:space="preserve">10.1007/bf02292748</t>
  </si>
  <si>
    <t xml:space="preserve">10.1007/bf02292958</t>
  </si>
  <si>
    <t xml:space="preserve">10.1007/bf02292959</t>
  </si>
  <si>
    <t xml:space="preserve">Dixippus</t>
  </si>
  <si>
    <t xml:space="preserve">10.1007/bf02292960</t>
  </si>
  <si>
    <t xml:space="preserve">10.1007/bf02292961</t>
  </si>
  <si>
    <t xml:space="preserve">10.1007/bf02292962</t>
  </si>
  <si>
    <t xml:space="preserve">transplantation, developmental_mechanics</t>
  </si>
  <si>
    <t xml:space="preserve">10.1007/bf02292963</t>
  </si>
  <si>
    <t xml:space="preserve">10.1007/bf02292964</t>
  </si>
  <si>
    <t xml:space="preserve">10.1007/bf02292965</t>
  </si>
  <si>
    <t xml:space="preserve">10.1007/bf02292966</t>
  </si>
  <si>
    <t xml:space="preserve">10.1007/bf02292967</t>
  </si>
  <si>
    <t xml:space="preserve">10.1007/bf02292968</t>
  </si>
  <si>
    <t xml:space="preserve">10.1007/bf02292969</t>
  </si>
  <si>
    <t xml:space="preserve">10.1007/bf02554396</t>
  </si>
  <si>
    <t xml:space="preserve">10.1007/bf02554397</t>
  </si>
  <si>
    <t xml:space="preserve">10.1007/bf02554398</t>
  </si>
  <si>
    <t xml:space="preserve">10.1007/bf02554400</t>
  </si>
  <si>
    <t xml:space="preserve">10.1007/bf02554401</t>
  </si>
  <si>
    <t xml:space="preserve">pigmentation, light_effects</t>
  </si>
  <si>
    <t xml:space="preserve">10.1007/bf02554402</t>
  </si>
  <si>
    <t xml:space="preserve">10.1007/bf02554403</t>
  </si>
  <si>
    <t xml:space="preserve">10.1007/bf02554404</t>
  </si>
  <si>
    <t xml:space="preserve">regeneration, pigmentation</t>
  </si>
  <si>
    <t xml:space="preserve">10.1007/bf02554409</t>
  </si>
  <si>
    <t xml:space="preserve">growth, developmental_mechanics</t>
  </si>
  <si>
    <t xml:space="preserve">10.1007/bf02554414</t>
  </si>
  <si>
    <t xml:space="preserve">10.1007/bf02554415</t>
  </si>
  <si>
    <t xml:space="preserve">10.1007/bf02554416</t>
  </si>
  <si>
    <t xml:space="preserve">10.1007/bf02554417</t>
  </si>
  <si>
    <t xml:space="preserve">sex_determination, morphology</t>
  </si>
  <si>
    <t xml:space="preserve">10.1007/bf02554418</t>
  </si>
  <si>
    <t xml:space="preserve">Protozoa</t>
  </si>
  <si>
    <t xml:space="preserve">10.1007/bf02554419</t>
  </si>
  <si>
    <t xml:space="preserve">10.1007/bf02554420</t>
  </si>
  <si>
    <t xml:space="preserve">10.1007/bf02554426</t>
  </si>
  <si>
    <t xml:space="preserve">thermal_modification, light_effects</t>
  </si>
  <si>
    <t xml:space="preserve">10.1007/bf02554478</t>
  </si>
  <si>
    <t xml:space="preserve">10.1007/bf02554479</t>
  </si>
  <si>
    <t xml:space="preserve">pigmentation, behavior</t>
  </si>
  <si>
    <t xml:space="preserve">10.1007/bf02554480</t>
  </si>
  <si>
    <t xml:space="preserve">10.1007/bf02554481</t>
  </si>
  <si>
    <t xml:space="preserve">10.1007/bf02554482</t>
  </si>
  <si>
    <t xml:space="preserve">light_effects, morphology</t>
  </si>
  <si>
    <t xml:space="preserve">10.1007/bf02554483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</si>
</sst>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5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color rgb="FF555555"/>
      <name val="Arial"/>
      <family val="0"/>
      <charset val="1"/>
    </font>
    <font>
      <b val="true"/>
      <sz val="11"/>
      <color rgb="FFB8860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555555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3B3B3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Articles per legacy layer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Layer'!C3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Layer'!$A$4:$A$8</c:f>
              <c:strCache>
                <c:ptCount val="5"/>
                <c:pt idx="0">
                  <c:v>Layer 1</c:v>
                </c:pt>
                <c:pt idx="1">
                  <c:v>Layer 2</c:v>
                </c:pt>
                <c:pt idx="2">
                  <c:v>Layer 3</c:v>
                </c:pt>
                <c:pt idx="3">
                  <c:v>Layer 4</c:v>
                </c:pt>
                <c:pt idx="4">
                  <c:v>none</c:v>
                </c:pt>
              </c:strCache>
            </c:strRef>
          </c:cat>
          <c:val>
            <c:numRef>
              <c:f>'By Layer'!$C$4:$C$8</c:f>
              <c:numCache>
                <c:formatCode>General</c:formatCode>
                <c:ptCount val="5"/>
                <c:pt idx="0">
                  <c:v>22</c:v>
                </c:pt>
                <c:pt idx="1">
                  <c:v>70</c:v>
                </c:pt>
                <c:pt idx="2">
                  <c:v>37</c:v>
                </c:pt>
                <c:pt idx="3">
                  <c:v>41</c:v>
                </c:pt>
                <c:pt idx="4">
                  <c:v>5</c:v>
                </c:pt>
              </c:numCache>
            </c:numRef>
          </c:val>
        </c:ser>
        <c:gapWidth val="150"/>
        <c:overlap val="0"/>
        <c:axId val="5227382"/>
        <c:axId val="17815194"/>
      </c:barChart>
      <c:catAx>
        <c:axId val="52273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815194"/>
        <c:crosses val="autoZero"/>
        <c:auto val="1"/>
        <c:lblAlgn val="ctr"/>
        <c:lblOffset val="100"/>
        <c:noMultiLvlLbl val="0"/>
      </c:catAx>
      <c:valAx>
        <c:axId val="178151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273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Mean citations by layer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Layer'!E3</c:f>
              <c:strCache>
                <c:ptCount val="1"/>
                <c:pt idx="0">
                  <c:v>Mean citations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Layer'!$A$4:$A$8</c:f>
              <c:strCache>
                <c:ptCount val="5"/>
                <c:pt idx="0">
                  <c:v>Layer 1</c:v>
                </c:pt>
                <c:pt idx="1">
                  <c:v>Layer 2</c:v>
                </c:pt>
                <c:pt idx="2">
                  <c:v>Layer 3</c:v>
                </c:pt>
                <c:pt idx="3">
                  <c:v>Layer 4</c:v>
                </c:pt>
                <c:pt idx="4">
                  <c:v>none</c:v>
                </c:pt>
              </c:strCache>
            </c:strRef>
          </c:cat>
          <c:val>
            <c:numRef>
              <c:f>'By Layer'!$E$4:$E$8</c:f>
              <c:numCache>
                <c:formatCode>General</c:formatCode>
                <c:ptCount val="5"/>
                <c:pt idx="0">
                  <c:v>12.3</c:v>
                </c:pt>
                <c:pt idx="1">
                  <c:v>14</c:v>
                </c:pt>
                <c:pt idx="2">
                  <c:v>11.4</c:v>
                </c:pt>
                <c:pt idx="3">
                  <c:v>10.3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18370526"/>
        <c:axId val="89900637"/>
      </c:barChart>
      <c:catAx>
        <c:axId val="183705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900637"/>
        <c:crosses val="autoZero"/>
        <c:auto val="1"/>
        <c:lblAlgn val="ctr"/>
        <c:lblOffset val="100"/>
        <c:noMultiLvlLbl val="0"/>
      </c:catAx>
      <c:valAx>
        <c:axId val="899006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37052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Articles per decade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Timeline!B3</c:f>
              <c:strCache>
                <c:ptCount val="1"/>
                <c:pt idx="0">
                  <c:v>Articles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Timeline!$A$4:$A$7</c:f>
              <c:strCache>
                <c:ptCount val="4"/>
                <c:pt idx="0">
                  <c:v>1900s</c:v>
                </c:pt>
                <c:pt idx="1">
                  <c:v>1910s</c:v>
                </c:pt>
                <c:pt idx="2">
                  <c:v>1920s</c:v>
                </c:pt>
                <c:pt idx="3">
                  <c:v>1930s</c:v>
                </c:pt>
              </c:strCache>
            </c:strRef>
          </c:cat>
          <c:val>
            <c:numRef>
              <c:f>Timeline!$B$4:$B$7</c:f>
              <c:numCache>
                <c:formatCode>General</c:formatCode>
                <c:ptCount val="4"/>
                <c:pt idx="0">
                  <c:v>47</c:v>
                </c:pt>
                <c:pt idx="1">
                  <c:v>51</c:v>
                </c:pt>
                <c:pt idx="2">
                  <c:v>69</c:v>
                </c:pt>
                <c:pt idx="3">
                  <c:v>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483986"/>
        <c:axId val="62788915"/>
      </c:lineChart>
      <c:catAx>
        <c:axId val="764839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788915"/>
        <c:crosses val="autoZero"/>
        <c:auto val="1"/>
        <c:lblAlgn val="ctr"/>
        <c:lblOffset val="100"/>
        <c:noMultiLvlLbl val="0"/>
      </c:catAx>
      <c:valAx>
        <c:axId val="627889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4839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Articles by author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Authors'!B3</c:f>
              <c:strCache>
                <c:ptCount val="1"/>
                <c:pt idx="0">
                  <c:v>Articles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Authors'!$A$4:$A$18</c:f>
              <c:strCache>
                <c:ptCount val="15"/>
                <c:pt idx="0">
                  <c:v>Przibram</c:v>
                </c:pt>
                <c:pt idx="1">
                  <c:v>Kammerer</c:v>
                </c:pt>
                <c:pt idx="2">
                  <c:v>Weiss</c:v>
                </c:pt>
                <c:pt idx="3">
                  <c:v>Brecher</c:v>
                </c:pt>
                <c:pt idx="4">
                  <c:v>Koppanyi</c:v>
                </c:pt>
                <c:pt idx="5">
                  <c:v>Megušar</c:v>
                </c:pt>
                <c:pt idx="6">
                  <c:v>Werber</c:v>
                </c:pt>
                <c:pt idx="7">
                  <c:v>Uhlenhuth</c:v>
                </c:pt>
                <c:pt idx="8">
                  <c:v>Steinach</c:v>
                </c:pt>
                <c:pt idx="9">
                  <c:v>Secerov</c:v>
                </c:pt>
                <c:pt idx="10">
                  <c:v>Finkler</c:v>
                </c:pt>
                <c:pt idx="11">
                  <c:v>Klintz</c:v>
                </c:pt>
                <c:pt idx="12">
                  <c:v>Janda</c:v>
                </c:pt>
                <c:pt idx="13">
                  <c:v>Wiesner</c:v>
                </c:pt>
                <c:pt idx="14">
                  <c:v>Kurz</c:v>
                </c:pt>
              </c:strCache>
            </c:strRef>
          </c:cat>
          <c:val>
            <c:numRef>
              <c:f>'Top Authors'!$B$4:$B$18</c:f>
              <c:numCache>
                <c:formatCode>General</c:formatCode>
                <c:ptCount val="15"/>
                <c:pt idx="0">
                  <c:v>50</c:v>
                </c:pt>
                <c:pt idx="1">
                  <c:v>15</c:v>
                </c:pt>
                <c:pt idx="2">
                  <c:v>13</c:v>
                </c:pt>
                <c:pt idx="3">
                  <c:v>11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</c:ser>
        <c:gapWidth val="150"/>
        <c:overlap val="0"/>
        <c:axId val="23443079"/>
        <c:axId val="28727423"/>
      </c:barChart>
      <c:catAx>
        <c:axId val="234430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727423"/>
        <c:crosses val="autoZero"/>
        <c:auto val="1"/>
        <c:lblAlgn val="ctr"/>
        <c:lblOffset val="100"/>
        <c:noMultiLvlLbl val="0"/>
      </c:catAx>
      <c:valAx>
        <c:axId val="28727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4430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Papers per convergence axis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'Convergence Axis'!C4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'Convergence Axis'!$A$5:$A$10</c:f>
              <c:strCache>
                <c:ptCount val="6"/>
                <c:pt idx="0">
                  <c:v>C1 – Same species active</c:v>
                </c:pt>
                <c:pt idx="1">
                  <c:v>C2 – Same genus active</c:v>
                </c:pt>
                <c:pt idx="2">
                  <c:v>C2 – Same genus active (modern name)</c:v>
                </c:pt>
                <c:pt idx="3">
                  <c:v>C3 – Related taxon active</c:v>
                </c:pt>
                <c:pt idx="4">
                  <c:v>C4 – Phenomenon only</c:v>
                </c:pt>
                <c:pt idx="5">
                  <c:v>C5 – No modern parallel</c:v>
                </c:pt>
              </c:strCache>
            </c:strRef>
          </c:cat>
          <c:val>
            <c:numRef>
              <c:f>'Convergence Axis'!$C$5:$C$10</c:f>
              <c:numCache>
                <c:formatCode>General</c:formatCode>
                <c:ptCount val="6"/>
                <c:pt idx="0">
                  <c:v>17</c:v>
                </c:pt>
                <c:pt idx="1">
                  <c:v>51</c:v>
                </c:pt>
                <c:pt idx="2">
                  <c:v>13</c:v>
                </c:pt>
                <c:pt idx="3">
                  <c:v>55</c:v>
                </c:pt>
                <c:pt idx="4">
                  <c:v>36</c:v>
                </c:pt>
                <c:pt idx="5">
                  <c:v>3</c:v>
                </c:pt>
              </c:numCache>
            </c:numRef>
          </c:val>
        </c:ser>
        <c:gapWidth val="150"/>
        <c:overlap val="0"/>
        <c:axId val="85077435"/>
        <c:axId val="19438649"/>
      </c:barChart>
      <c:catAx>
        <c:axId val="850774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438649"/>
        <c:crosses val="autoZero"/>
        <c:auto val="1"/>
        <c:lblAlgn val="ctr"/>
        <c:lblOffset val="100"/>
        <c:noMultiLvlLbl val="0"/>
      </c:catAx>
      <c:valAx>
        <c:axId val="194386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07743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15</xdr:col>
      <xdr:colOff>38160</xdr:colOff>
      <xdr:row>14</xdr:row>
      <xdr:rowOff>82440</xdr:rowOff>
    </xdr:to>
    <xdr:graphicFrame>
      <xdr:nvGraphicFramePr>
        <xdr:cNvPr id="1" name="Chart 1"/>
        <xdr:cNvGraphicFramePr/>
      </xdr:nvGraphicFramePr>
      <xdr:xfrm>
        <a:off x="8787600" y="380880"/>
        <a:ext cx="4318920" cy="251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17</xdr:row>
      <xdr:rowOff>0</xdr:rowOff>
    </xdr:from>
    <xdr:to>
      <xdr:col>15</xdr:col>
      <xdr:colOff>38160</xdr:colOff>
      <xdr:row>30</xdr:row>
      <xdr:rowOff>42480</xdr:rowOff>
    </xdr:to>
    <xdr:graphicFrame>
      <xdr:nvGraphicFramePr>
        <xdr:cNvPr id="2" name="Chart 2"/>
        <xdr:cNvGraphicFramePr/>
      </xdr:nvGraphicFramePr>
      <xdr:xfrm>
        <a:off x="8787600" y="3381480"/>
        <a:ext cx="431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12</xdr:col>
      <xdr:colOff>146880</xdr:colOff>
      <xdr:row>15</xdr:row>
      <xdr:rowOff>42120</xdr:rowOff>
    </xdr:to>
    <xdr:graphicFrame>
      <xdr:nvGraphicFramePr>
        <xdr:cNvPr id="3" name="Chart 1"/>
        <xdr:cNvGraphicFramePr/>
      </xdr:nvGraphicFramePr>
      <xdr:xfrm>
        <a:off x="3430800" y="380880"/>
        <a:ext cx="503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12</xdr:col>
      <xdr:colOff>38520</xdr:colOff>
      <xdr:row>22</xdr:row>
      <xdr:rowOff>148680</xdr:rowOff>
    </xdr:to>
    <xdr:graphicFrame>
      <xdr:nvGraphicFramePr>
        <xdr:cNvPr id="4" name="Chart 1"/>
        <xdr:cNvGraphicFramePr/>
      </xdr:nvGraphicFramePr>
      <xdr:xfrm>
        <a:off x="4981680" y="380880"/>
        <a:ext cx="431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12</xdr:col>
      <xdr:colOff>147240</xdr:colOff>
      <xdr:row>18</xdr:row>
      <xdr:rowOff>21960</xdr:rowOff>
    </xdr:to>
    <xdr:graphicFrame>
      <xdr:nvGraphicFramePr>
        <xdr:cNvPr id="5" name="Chart 1"/>
        <xdr:cNvGraphicFramePr/>
      </xdr:nvGraphicFramePr>
      <xdr:xfrm>
        <a:off x="6250320" y="57168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5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60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23.25" hidden="false" customHeight="true" outlineLevel="0" collapsed="false">
      <c r="A2" s="3" t="n">
        <v>1904</v>
      </c>
      <c r="B2" s="3" t="s">
        <v>7</v>
      </c>
      <c r="C2" s="3" t="s">
        <v>7</v>
      </c>
      <c r="D2" s="3" t="s">
        <v>8</v>
      </c>
      <c r="E2" s="3" t="n">
        <v>41</v>
      </c>
      <c r="F2" s="3" t="s">
        <v>9</v>
      </c>
      <c r="G2" s="3" t="s">
        <v>10</v>
      </c>
    </row>
    <row r="3" customFormat="false" ht="23.25" hidden="false" customHeight="true" outlineLevel="0" collapsed="false">
      <c r="A3" s="3" t="n">
        <v>1905</v>
      </c>
      <c r="B3" s="3" t="s">
        <v>11</v>
      </c>
      <c r="C3" s="3" t="s">
        <v>11</v>
      </c>
      <c r="D3" s="3" t="s">
        <v>12</v>
      </c>
      <c r="E3" s="3" t="n">
        <v>2</v>
      </c>
      <c r="F3" s="3" t="s">
        <v>13</v>
      </c>
      <c r="G3" s="3" t="s">
        <v>14</v>
      </c>
    </row>
    <row r="4" customFormat="false" ht="23.25" hidden="false" customHeight="true" outlineLevel="0" collapsed="false">
      <c r="A4" s="3" t="n">
        <v>1905</v>
      </c>
      <c r="B4" s="3" t="s">
        <v>15</v>
      </c>
      <c r="C4" s="3" t="s">
        <v>15</v>
      </c>
      <c r="D4" s="3" t="s">
        <v>16</v>
      </c>
      <c r="E4" s="3" t="n">
        <v>3</v>
      </c>
      <c r="F4" s="3" t="s">
        <v>9</v>
      </c>
      <c r="G4" s="3" t="s">
        <v>17</v>
      </c>
    </row>
    <row r="5" customFormat="false" ht="23.25" hidden="false" customHeight="true" outlineLevel="0" collapsed="false">
      <c r="A5" s="3" t="n">
        <v>1905</v>
      </c>
      <c r="B5" s="3" t="s">
        <v>18</v>
      </c>
      <c r="C5" s="3" t="s">
        <v>18</v>
      </c>
      <c r="D5" s="3" t="s">
        <v>19</v>
      </c>
      <c r="E5" s="3" t="n">
        <v>5</v>
      </c>
      <c r="F5" s="3" t="s">
        <v>9</v>
      </c>
      <c r="G5" s="3" t="s">
        <v>20</v>
      </c>
    </row>
    <row r="6" customFormat="false" ht="34.5" hidden="false" customHeight="true" outlineLevel="0" collapsed="false">
      <c r="A6" s="3" t="n">
        <v>1905</v>
      </c>
      <c r="B6" s="3" t="s">
        <v>7</v>
      </c>
      <c r="C6" s="3" t="s">
        <v>7</v>
      </c>
      <c r="D6" s="3" t="s">
        <v>21</v>
      </c>
      <c r="E6" s="3" t="n">
        <v>25</v>
      </c>
      <c r="F6" s="3" t="s">
        <v>9</v>
      </c>
      <c r="G6" s="3" t="s">
        <v>22</v>
      </c>
    </row>
    <row r="7" customFormat="false" ht="23.25" hidden="false" customHeight="true" outlineLevel="0" collapsed="false">
      <c r="A7" s="3" t="n">
        <v>1905</v>
      </c>
      <c r="B7" s="3" t="s">
        <v>23</v>
      </c>
      <c r="C7" s="3" t="s">
        <v>23</v>
      </c>
      <c r="D7" s="3" t="s">
        <v>24</v>
      </c>
      <c r="E7" s="3" t="n">
        <v>23</v>
      </c>
      <c r="F7" s="3" t="s">
        <v>9</v>
      </c>
      <c r="G7" s="3" t="s">
        <v>25</v>
      </c>
    </row>
    <row r="8" customFormat="false" ht="23.25" hidden="false" customHeight="true" outlineLevel="0" collapsed="false">
      <c r="A8" s="3" t="n">
        <v>1905</v>
      </c>
      <c r="B8" s="3" t="s">
        <v>26</v>
      </c>
      <c r="C8" s="3" t="s">
        <v>27</v>
      </c>
      <c r="D8" s="3" t="s">
        <v>28</v>
      </c>
      <c r="E8" s="3" t="n">
        <v>10</v>
      </c>
      <c r="F8" s="3" t="s">
        <v>9</v>
      </c>
      <c r="G8" s="3" t="s">
        <v>29</v>
      </c>
    </row>
    <row r="9" customFormat="false" ht="23.25" hidden="false" customHeight="true" outlineLevel="0" collapsed="false">
      <c r="A9" s="3" t="n">
        <v>1905</v>
      </c>
      <c r="B9" s="3" t="s">
        <v>26</v>
      </c>
      <c r="C9" s="3" t="s">
        <v>26</v>
      </c>
      <c r="D9" s="3" t="s">
        <v>30</v>
      </c>
      <c r="E9" s="3" t="n">
        <v>8</v>
      </c>
      <c r="F9" s="3" t="s">
        <v>31</v>
      </c>
      <c r="G9" s="3" t="s">
        <v>32</v>
      </c>
    </row>
    <row r="10" customFormat="false" ht="34.5" hidden="false" customHeight="true" outlineLevel="0" collapsed="false">
      <c r="A10" s="3" t="n">
        <v>1906</v>
      </c>
      <c r="B10" s="3" t="s">
        <v>11</v>
      </c>
      <c r="C10" s="3" t="s">
        <v>11</v>
      </c>
      <c r="D10" s="3" t="s">
        <v>33</v>
      </c>
      <c r="E10" s="3" t="n">
        <v>3</v>
      </c>
      <c r="F10" s="3" t="s">
        <v>34</v>
      </c>
      <c r="G10" s="3" t="s">
        <v>35</v>
      </c>
    </row>
    <row r="11" customFormat="false" ht="23.25" hidden="false" customHeight="true" outlineLevel="0" collapsed="false">
      <c r="A11" s="3" t="n">
        <v>1906</v>
      </c>
      <c r="B11" s="3" t="s">
        <v>36</v>
      </c>
      <c r="C11" s="3" t="s">
        <v>36</v>
      </c>
      <c r="D11" s="3" t="s">
        <v>37</v>
      </c>
      <c r="E11" s="3" t="n">
        <v>6</v>
      </c>
      <c r="F11" s="3" t="s">
        <v>9</v>
      </c>
      <c r="G11" s="3" t="s">
        <v>38</v>
      </c>
    </row>
    <row r="12" customFormat="false" ht="23.25" hidden="false" customHeight="true" outlineLevel="0" collapsed="false">
      <c r="A12" s="3" t="n">
        <v>1906</v>
      </c>
      <c r="B12" s="3" t="s">
        <v>39</v>
      </c>
      <c r="C12" s="3" t="s">
        <v>40</v>
      </c>
      <c r="D12" s="3" t="s">
        <v>41</v>
      </c>
      <c r="E12" s="3" t="n">
        <v>7</v>
      </c>
      <c r="F12" s="3" t="s">
        <v>13</v>
      </c>
      <c r="G12" s="3" t="s">
        <v>14</v>
      </c>
    </row>
    <row r="13" customFormat="false" ht="23.25" hidden="false" customHeight="true" outlineLevel="0" collapsed="false">
      <c r="A13" s="3" t="n">
        <v>1906</v>
      </c>
      <c r="B13" s="3" t="s">
        <v>42</v>
      </c>
      <c r="C13" s="3" t="s">
        <v>42</v>
      </c>
      <c r="D13" s="3" t="s">
        <v>43</v>
      </c>
      <c r="E13" s="3" t="n">
        <v>18</v>
      </c>
      <c r="F13" s="3" t="s">
        <v>31</v>
      </c>
      <c r="G13" s="3" t="s">
        <v>44</v>
      </c>
    </row>
    <row r="14" customFormat="false" ht="34.5" hidden="false" customHeight="true" outlineLevel="0" collapsed="false">
      <c r="A14" s="3" t="n">
        <v>1906</v>
      </c>
      <c r="B14" s="3" t="s">
        <v>7</v>
      </c>
      <c r="C14" s="3" t="s">
        <v>7</v>
      </c>
      <c r="D14" s="3" t="s">
        <v>45</v>
      </c>
      <c r="E14" s="3" t="n">
        <v>26</v>
      </c>
      <c r="F14" s="3" t="s">
        <v>9</v>
      </c>
      <c r="G14" s="3" t="s">
        <v>46</v>
      </c>
    </row>
    <row r="15" customFormat="false" ht="23.25" hidden="false" customHeight="true" outlineLevel="0" collapsed="false">
      <c r="A15" s="3" t="n">
        <v>1906</v>
      </c>
      <c r="B15" s="3" t="s">
        <v>47</v>
      </c>
      <c r="C15" s="3" t="s">
        <v>48</v>
      </c>
      <c r="D15" s="3" t="s">
        <v>49</v>
      </c>
      <c r="E15" s="3" t="n">
        <v>2</v>
      </c>
      <c r="F15" s="3" t="s">
        <v>9</v>
      </c>
      <c r="G15" s="3" t="s">
        <v>50</v>
      </c>
    </row>
    <row r="16" customFormat="false" ht="23.25" hidden="false" customHeight="true" outlineLevel="0" collapsed="false">
      <c r="A16" s="3" t="n">
        <v>1906</v>
      </c>
      <c r="B16" s="3" t="s">
        <v>23</v>
      </c>
      <c r="C16" s="3" t="s">
        <v>23</v>
      </c>
      <c r="D16" s="3" t="s">
        <v>51</v>
      </c>
      <c r="E16" s="3" t="n">
        <v>27</v>
      </c>
      <c r="F16" s="3" t="s">
        <v>31</v>
      </c>
      <c r="G16" s="3" t="s">
        <v>52</v>
      </c>
    </row>
    <row r="17" customFormat="false" ht="23.25" hidden="false" customHeight="true" outlineLevel="0" collapsed="false">
      <c r="A17" s="3" t="n">
        <v>1906</v>
      </c>
      <c r="B17" s="3" t="s">
        <v>23</v>
      </c>
      <c r="C17" s="3" t="s">
        <v>53</v>
      </c>
      <c r="D17" s="3" t="s">
        <v>54</v>
      </c>
      <c r="E17" s="3" t="n">
        <v>15</v>
      </c>
      <c r="F17" s="3" t="s">
        <v>13</v>
      </c>
      <c r="G17" s="3" t="s">
        <v>14</v>
      </c>
    </row>
    <row r="18" customFormat="false" ht="23.25" hidden="false" customHeight="true" outlineLevel="0" collapsed="false">
      <c r="A18" s="3" t="n">
        <v>1906</v>
      </c>
      <c r="B18" s="3" t="s">
        <v>26</v>
      </c>
      <c r="C18" s="3" t="s">
        <v>26</v>
      </c>
      <c r="D18" s="3" t="s">
        <v>55</v>
      </c>
      <c r="E18" s="3" t="n">
        <v>5</v>
      </c>
      <c r="F18" s="3" t="s">
        <v>9</v>
      </c>
      <c r="G18" s="3" t="s">
        <v>56</v>
      </c>
    </row>
    <row r="19" customFormat="false" ht="23.25" hidden="false" customHeight="true" outlineLevel="0" collapsed="false">
      <c r="A19" s="3" t="n">
        <v>1907</v>
      </c>
      <c r="B19" s="3" t="s">
        <v>57</v>
      </c>
      <c r="C19" s="3" t="s">
        <v>57</v>
      </c>
      <c r="D19" s="3" t="s">
        <v>58</v>
      </c>
      <c r="E19" s="3" t="n">
        <v>7</v>
      </c>
      <c r="F19" s="3" t="s">
        <v>9</v>
      </c>
      <c r="G19" s="3" t="s">
        <v>17</v>
      </c>
    </row>
    <row r="20" customFormat="false" ht="23.25" hidden="false" customHeight="true" outlineLevel="0" collapsed="false">
      <c r="A20" s="3" t="n">
        <v>1907</v>
      </c>
      <c r="B20" s="3" t="s">
        <v>59</v>
      </c>
      <c r="C20" s="3" t="s">
        <v>59</v>
      </c>
      <c r="D20" s="3" t="s">
        <v>60</v>
      </c>
      <c r="E20" s="3" t="n">
        <v>2</v>
      </c>
      <c r="F20" s="3" t="s">
        <v>13</v>
      </c>
      <c r="G20" s="3" t="s">
        <v>14</v>
      </c>
    </row>
    <row r="21" customFormat="false" ht="23.25" hidden="false" customHeight="true" outlineLevel="0" collapsed="false">
      <c r="A21" s="3" t="n">
        <v>1907</v>
      </c>
      <c r="B21" s="3" t="s">
        <v>7</v>
      </c>
      <c r="C21" s="3" t="s">
        <v>7</v>
      </c>
      <c r="D21" s="3" t="s">
        <v>61</v>
      </c>
      <c r="E21" s="3" t="n">
        <v>9</v>
      </c>
      <c r="F21" s="3" t="s">
        <v>31</v>
      </c>
      <c r="G21" s="3" t="s">
        <v>62</v>
      </c>
    </row>
    <row r="22" customFormat="false" ht="34.5" hidden="false" customHeight="true" outlineLevel="0" collapsed="false">
      <c r="A22" s="3" t="n">
        <v>1907</v>
      </c>
      <c r="B22" s="3" t="s">
        <v>7</v>
      </c>
      <c r="C22" s="3" t="s">
        <v>63</v>
      </c>
      <c r="D22" s="3" t="s">
        <v>64</v>
      </c>
      <c r="E22" s="3" t="n">
        <v>34</v>
      </c>
      <c r="F22" s="3" t="s">
        <v>34</v>
      </c>
      <c r="G22" s="3" t="s">
        <v>65</v>
      </c>
    </row>
    <row r="23" customFormat="false" ht="23.25" hidden="false" customHeight="true" outlineLevel="0" collapsed="false">
      <c r="A23" s="3" t="n">
        <v>1907</v>
      </c>
      <c r="B23" s="3" t="s">
        <v>7</v>
      </c>
      <c r="C23" s="3" t="s">
        <v>7</v>
      </c>
      <c r="D23" s="3" t="s">
        <v>66</v>
      </c>
      <c r="E23" s="3" t="n">
        <v>5</v>
      </c>
      <c r="F23" s="3" t="s">
        <v>13</v>
      </c>
      <c r="G23" s="3" t="s">
        <v>14</v>
      </c>
    </row>
    <row r="24" customFormat="false" ht="23.25" hidden="false" customHeight="true" outlineLevel="0" collapsed="false">
      <c r="A24" s="3" t="n">
        <v>1907</v>
      </c>
      <c r="B24" s="3" t="s">
        <v>7</v>
      </c>
      <c r="C24" s="3" t="s">
        <v>7</v>
      </c>
      <c r="D24" s="3" t="s">
        <v>67</v>
      </c>
      <c r="E24" s="3" t="n">
        <v>5</v>
      </c>
      <c r="F24" s="3" t="s">
        <v>9</v>
      </c>
      <c r="G24" s="3" t="s">
        <v>68</v>
      </c>
    </row>
    <row r="25" customFormat="false" ht="23.25" hidden="false" customHeight="true" outlineLevel="0" collapsed="false">
      <c r="A25" s="3" t="n">
        <v>1907</v>
      </c>
      <c r="B25" s="3" t="s">
        <v>7</v>
      </c>
      <c r="C25" s="3" t="s">
        <v>7</v>
      </c>
      <c r="D25" s="3" t="s">
        <v>69</v>
      </c>
      <c r="E25" s="3" t="n">
        <v>7</v>
      </c>
      <c r="F25" s="3" t="s">
        <v>13</v>
      </c>
      <c r="G25" s="3" t="s">
        <v>14</v>
      </c>
    </row>
    <row r="26" customFormat="false" ht="23.25" hidden="false" customHeight="true" outlineLevel="0" collapsed="false">
      <c r="A26" s="3" t="n">
        <v>1907</v>
      </c>
      <c r="B26" s="3" t="s">
        <v>70</v>
      </c>
      <c r="C26" s="3" t="s">
        <v>70</v>
      </c>
      <c r="D26" s="3" t="s">
        <v>71</v>
      </c>
      <c r="E26" s="3" t="n">
        <v>1</v>
      </c>
      <c r="F26" s="3" t="s">
        <v>31</v>
      </c>
      <c r="G26" s="3" t="s">
        <v>72</v>
      </c>
    </row>
    <row r="27" customFormat="false" ht="23.25" hidden="false" customHeight="true" outlineLevel="0" collapsed="false">
      <c r="A27" s="3" t="n">
        <v>1907</v>
      </c>
      <c r="B27" s="3" t="s">
        <v>70</v>
      </c>
      <c r="C27" s="3" t="s">
        <v>70</v>
      </c>
      <c r="D27" s="3" t="s">
        <v>73</v>
      </c>
      <c r="E27" s="3" t="n">
        <v>3</v>
      </c>
      <c r="F27" s="3" t="s">
        <v>9</v>
      </c>
      <c r="G27" s="3" t="s">
        <v>74</v>
      </c>
    </row>
    <row r="28" customFormat="false" ht="23.25" hidden="false" customHeight="true" outlineLevel="0" collapsed="false">
      <c r="A28" s="3" t="n">
        <v>1907</v>
      </c>
      <c r="B28" s="3" t="s">
        <v>75</v>
      </c>
      <c r="C28" s="3" t="s">
        <v>75</v>
      </c>
      <c r="D28" s="3" t="s">
        <v>76</v>
      </c>
      <c r="E28" s="3" t="n">
        <v>5</v>
      </c>
      <c r="F28" s="3" t="s">
        <v>13</v>
      </c>
      <c r="G28" s="3" t="s">
        <v>14</v>
      </c>
    </row>
    <row r="29" customFormat="false" ht="23.25" hidden="false" customHeight="true" outlineLevel="0" collapsed="false">
      <c r="A29" s="3" t="n">
        <v>1907</v>
      </c>
      <c r="B29" s="3" t="s">
        <v>47</v>
      </c>
      <c r="C29" s="3" t="s">
        <v>48</v>
      </c>
      <c r="D29" s="3" t="s">
        <v>77</v>
      </c>
      <c r="E29" s="3" t="n">
        <v>5</v>
      </c>
      <c r="F29" s="3" t="s">
        <v>9</v>
      </c>
      <c r="G29" s="3" t="s">
        <v>17</v>
      </c>
    </row>
    <row r="30" customFormat="false" ht="34.5" hidden="false" customHeight="true" outlineLevel="0" collapsed="false">
      <c r="A30" s="3" t="n">
        <v>1907</v>
      </c>
      <c r="B30" s="3" t="s">
        <v>47</v>
      </c>
      <c r="C30" s="3" t="s">
        <v>48</v>
      </c>
      <c r="D30" s="3" t="s">
        <v>78</v>
      </c>
      <c r="E30" s="3" t="n">
        <v>2</v>
      </c>
      <c r="F30" s="3" t="s">
        <v>34</v>
      </c>
      <c r="G30" s="3" t="s">
        <v>79</v>
      </c>
    </row>
    <row r="31" customFormat="false" ht="34.5" hidden="false" customHeight="true" outlineLevel="0" collapsed="false">
      <c r="A31" s="3" t="n">
        <v>1907</v>
      </c>
      <c r="B31" s="3" t="s">
        <v>47</v>
      </c>
      <c r="C31" s="3" t="s">
        <v>48</v>
      </c>
      <c r="D31" s="3" t="s">
        <v>80</v>
      </c>
      <c r="E31" s="3" t="n">
        <v>23</v>
      </c>
      <c r="F31" s="3" t="s">
        <v>34</v>
      </c>
      <c r="G31" s="3" t="s">
        <v>81</v>
      </c>
    </row>
    <row r="32" customFormat="false" ht="23.25" hidden="false" customHeight="true" outlineLevel="0" collapsed="false">
      <c r="A32" s="3" t="n">
        <v>1907</v>
      </c>
      <c r="B32" s="3" t="s">
        <v>82</v>
      </c>
      <c r="C32" s="3" t="s">
        <v>82</v>
      </c>
      <c r="D32" s="3" t="s">
        <v>83</v>
      </c>
      <c r="E32" s="3" t="n">
        <v>4</v>
      </c>
      <c r="F32" s="3" t="s">
        <v>34</v>
      </c>
      <c r="G32" s="3" t="s">
        <v>84</v>
      </c>
    </row>
    <row r="33" customFormat="false" ht="23.25" hidden="false" customHeight="true" outlineLevel="0" collapsed="false">
      <c r="A33" s="3" t="n">
        <v>1907</v>
      </c>
      <c r="B33" s="3" t="s">
        <v>85</v>
      </c>
      <c r="C33" s="3" t="s">
        <v>85</v>
      </c>
      <c r="D33" s="3" t="s">
        <v>86</v>
      </c>
      <c r="E33" s="3" t="n">
        <v>4</v>
      </c>
      <c r="F33" s="3" t="s">
        <v>9</v>
      </c>
      <c r="G33" s="3" t="s">
        <v>87</v>
      </c>
    </row>
    <row r="34" customFormat="false" ht="23.25" hidden="false" customHeight="true" outlineLevel="0" collapsed="false">
      <c r="A34" s="3" t="n">
        <v>1907</v>
      </c>
      <c r="B34" s="3" t="s">
        <v>23</v>
      </c>
      <c r="C34" s="3" t="s">
        <v>53</v>
      </c>
      <c r="D34" s="3" t="s">
        <v>88</v>
      </c>
      <c r="E34" s="3" t="n">
        <v>5</v>
      </c>
      <c r="F34" s="3" t="s">
        <v>9</v>
      </c>
      <c r="G34" s="3" t="s">
        <v>89</v>
      </c>
    </row>
    <row r="35" customFormat="false" ht="34.5" hidden="false" customHeight="true" outlineLevel="0" collapsed="false">
      <c r="A35" s="3" t="n">
        <v>1907</v>
      </c>
      <c r="B35" s="3" t="s">
        <v>23</v>
      </c>
      <c r="C35" s="3" t="s">
        <v>23</v>
      </c>
      <c r="D35" s="3" t="s">
        <v>90</v>
      </c>
      <c r="E35" s="3" t="n">
        <v>4</v>
      </c>
      <c r="F35" s="3" t="s">
        <v>9</v>
      </c>
      <c r="G35" s="3" t="s">
        <v>91</v>
      </c>
    </row>
    <row r="36" customFormat="false" ht="34.5" hidden="false" customHeight="true" outlineLevel="0" collapsed="false">
      <c r="A36" s="3" t="n">
        <v>1907</v>
      </c>
      <c r="B36" s="3" t="s">
        <v>23</v>
      </c>
      <c r="C36" s="3" t="s">
        <v>23</v>
      </c>
      <c r="D36" s="3" t="s">
        <v>92</v>
      </c>
      <c r="E36" s="3" t="n">
        <v>7</v>
      </c>
      <c r="F36" s="3" t="s">
        <v>9</v>
      </c>
      <c r="G36" s="3" t="s">
        <v>93</v>
      </c>
    </row>
    <row r="37" customFormat="false" ht="23.25" hidden="false" customHeight="true" outlineLevel="0" collapsed="false">
      <c r="A37" s="3" t="n">
        <v>1907</v>
      </c>
      <c r="B37" s="3" t="s">
        <v>23</v>
      </c>
      <c r="C37" s="3" t="s">
        <v>23</v>
      </c>
      <c r="D37" s="3" t="s">
        <v>94</v>
      </c>
      <c r="E37" s="3" t="n">
        <v>14</v>
      </c>
      <c r="F37" s="3" t="s">
        <v>34</v>
      </c>
      <c r="G37" s="3" t="s">
        <v>95</v>
      </c>
    </row>
    <row r="38" customFormat="false" ht="23.25" hidden="false" customHeight="true" outlineLevel="0" collapsed="false">
      <c r="A38" s="3" t="n">
        <v>1907</v>
      </c>
      <c r="B38" s="3" t="s">
        <v>23</v>
      </c>
      <c r="C38" s="3" t="s">
        <v>23</v>
      </c>
      <c r="D38" s="3" t="s">
        <v>96</v>
      </c>
      <c r="E38" s="3" t="n">
        <v>21</v>
      </c>
      <c r="F38" s="3" t="s">
        <v>9</v>
      </c>
      <c r="G38" s="3" t="s">
        <v>97</v>
      </c>
    </row>
    <row r="39" customFormat="false" ht="23.25" hidden="false" customHeight="true" outlineLevel="0" collapsed="false">
      <c r="A39" s="3" t="n">
        <v>1907</v>
      </c>
      <c r="B39" s="3" t="s">
        <v>23</v>
      </c>
      <c r="C39" s="3" t="s">
        <v>53</v>
      </c>
      <c r="D39" s="3" t="s">
        <v>98</v>
      </c>
      <c r="E39" s="3" t="n">
        <v>10</v>
      </c>
      <c r="F39" s="3" t="s">
        <v>13</v>
      </c>
      <c r="G39" s="3" t="s">
        <v>14</v>
      </c>
    </row>
    <row r="40" customFormat="false" ht="23.25" hidden="false" customHeight="true" outlineLevel="0" collapsed="false">
      <c r="A40" s="3" t="n">
        <v>1907</v>
      </c>
      <c r="B40" s="3" t="s">
        <v>99</v>
      </c>
      <c r="C40" s="3" t="s">
        <v>99</v>
      </c>
      <c r="D40" s="3" t="s">
        <v>100</v>
      </c>
      <c r="E40" s="3" t="n">
        <v>14</v>
      </c>
      <c r="F40" s="3" t="s">
        <v>34</v>
      </c>
      <c r="G40" s="3" t="s">
        <v>101</v>
      </c>
    </row>
    <row r="41" customFormat="false" ht="23.25" hidden="false" customHeight="true" outlineLevel="0" collapsed="false">
      <c r="A41" s="3" t="n">
        <v>1907</v>
      </c>
      <c r="B41" s="3" t="s">
        <v>102</v>
      </c>
      <c r="C41" s="3" t="s">
        <v>103</v>
      </c>
      <c r="D41" s="3" t="s">
        <v>104</v>
      </c>
      <c r="E41" s="3" t="n">
        <v>6</v>
      </c>
      <c r="F41" s="3" t="s">
        <v>9</v>
      </c>
      <c r="G41" s="3" t="s">
        <v>105</v>
      </c>
    </row>
    <row r="42" customFormat="false" ht="23.25" hidden="false" customHeight="true" outlineLevel="0" collapsed="false">
      <c r="A42" s="3" t="n">
        <v>1907</v>
      </c>
      <c r="B42" s="3" t="s">
        <v>26</v>
      </c>
      <c r="C42" s="3" t="s">
        <v>26</v>
      </c>
      <c r="D42" s="3" t="s">
        <v>106</v>
      </c>
      <c r="E42" s="3" t="n">
        <v>8</v>
      </c>
      <c r="F42" s="3" t="s">
        <v>13</v>
      </c>
      <c r="G42" s="3" t="s">
        <v>14</v>
      </c>
    </row>
    <row r="43" customFormat="false" ht="34.5" hidden="false" customHeight="true" outlineLevel="0" collapsed="false">
      <c r="A43" s="3" t="n">
        <v>1907</v>
      </c>
      <c r="B43" s="3" t="s">
        <v>107</v>
      </c>
      <c r="C43" s="3" t="s">
        <v>107</v>
      </c>
      <c r="D43" s="3" t="s">
        <v>108</v>
      </c>
      <c r="E43" s="3" t="n">
        <v>11</v>
      </c>
      <c r="F43" s="3" t="s">
        <v>34</v>
      </c>
      <c r="G43" s="3" t="s">
        <v>109</v>
      </c>
    </row>
    <row r="44" customFormat="false" ht="34.5" hidden="false" customHeight="true" outlineLevel="0" collapsed="false">
      <c r="A44" s="3" t="n">
        <v>1909</v>
      </c>
      <c r="B44" s="3" t="s">
        <v>7</v>
      </c>
      <c r="C44" s="3" t="s">
        <v>7</v>
      </c>
      <c r="D44" s="3" t="s">
        <v>64</v>
      </c>
      <c r="E44" s="3" t="n">
        <v>23</v>
      </c>
      <c r="F44" s="3" t="s">
        <v>34</v>
      </c>
      <c r="G44" s="3" t="s">
        <v>65</v>
      </c>
    </row>
    <row r="45" customFormat="false" ht="23.25" hidden="false" customHeight="true" outlineLevel="0" collapsed="false">
      <c r="A45" s="3" t="n">
        <v>1909</v>
      </c>
      <c r="B45" s="3" t="s">
        <v>110</v>
      </c>
      <c r="C45" s="3" t="s">
        <v>110</v>
      </c>
      <c r="D45" s="3" t="s">
        <v>111</v>
      </c>
      <c r="E45" s="3" t="n">
        <v>15</v>
      </c>
      <c r="F45" s="3" t="s">
        <v>31</v>
      </c>
      <c r="G45" s="3" t="s">
        <v>112</v>
      </c>
    </row>
    <row r="46" customFormat="false" ht="23.25" hidden="false" customHeight="true" outlineLevel="0" collapsed="false">
      <c r="A46" s="3" t="n">
        <v>1909</v>
      </c>
      <c r="B46" s="3" t="s">
        <v>113</v>
      </c>
      <c r="C46" s="3" t="s">
        <v>113</v>
      </c>
      <c r="D46" s="3" t="s">
        <v>114</v>
      </c>
      <c r="E46" s="3" t="n">
        <v>20</v>
      </c>
      <c r="F46" s="3" t="s">
        <v>9</v>
      </c>
      <c r="G46" s="3" t="s">
        <v>115</v>
      </c>
    </row>
    <row r="47" customFormat="false" ht="23.25" hidden="false" customHeight="true" outlineLevel="0" collapsed="false">
      <c r="A47" s="3" t="n">
        <v>1909</v>
      </c>
      <c r="B47" s="3" t="s">
        <v>116</v>
      </c>
      <c r="C47" s="3" t="s">
        <v>116</v>
      </c>
      <c r="D47" s="3" t="s">
        <v>117</v>
      </c>
      <c r="E47" s="3" t="n">
        <v>21</v>
      </c>
      <c r="F47" s="3" t="s">
        <v>9</v>
      </c>
      <c r="G47" s="3" t="s">
        <v>118</v>
      </c>
    </row>
    <row r="48" customFormat="false" ht="23.25" hidden="false" customHeight="true" outlineLevel="0" collapsed="false">
      <c r="A48" s="3" t="n">
        <v>1909</v>
      </c>
      <c r="B48" s="3" t="s">
        <v>26</v>
      </c>
      <c r="C48" s="3" t="s">
        <v>119</v>
      </c>
      <c r="D48" s="3" t="s">
        <v>120</v>
      </c>
      <c r="E48" s="3" t="n">
        <v>6</v>
      </c>
      <c r="F48" s="3" t="s">
        <v>34</v>
      </c>
      <c r="G48" s="3" t="s">
        <v>121</v>
      </c>
    </row>
    <row r="49" customFormat="false" ht="34.5" hidden="false" customHeight="true" outlineLevel="0" collapsed="false">
      <c r="A49" s="3" t="n">
        <v>1910</v>
      </c>
      <c r="B49" s="3" t="s">
        <v>122</v>
      </c>
      <c r="C49" s="3" t="s">
        <v>122</v>
      </c>
      <c r="D49" s="3" t="s">
        <v>123</v>
      </c>
      <c r="E49" s="3" t="n">
        <v>21</v>
      </c>
      <c r="F49" s="3" t="s">
        <v>34</v>
      </c>
      <c r="G49" s="3" t="s">
        <v>124</v>
      </c>
    </row>
    <row r="50" customFormat="false" ht="23.25" hidden="false" customHeight="true" outlineLevel="0" collapsed="false">
      <c r="A50" s="3" t="n">
        <v>1910</v>
      </c>
      <c r="B50" s="3" t="s">
        <v>125</v>
      </c>
      <c r="C50" s="3" t="s">
        <v>125</v>
      </c>
      <c r="D50" s="3" t="s">
        <v>126</v>
      </c>
      <c r="E50" s="3" t="n">
        <v>13</v>
      </c>
      <c r="F50" s="3" t="s">
        <v>9</v>
      </c>
      <c r="G50" s="3" t="s">
        <v>127</v>
      </c>
    </row>
    <row r="51" customFormat="false" ht="34.5" hidden="false" customHeight="true" outlineLevel="0" collapsed="false">
      <c r="A51" s="3" t="n">
        <v>1910</v>
      </c>
      <c r="B51" s="3" t="s">
        <v>128</v>
      </c>
      <c r="C51" s="3" t="s">
        <v>128</v>
      </c>
      <c r="D51" s="3" t="s">
        <v>129</v>
      </c>
      <c r="E51" s="3" t="n">
        <v>7</v>
      </c>
      <c r="F51" s="3" t="s">
        <v>34</v>
      </c>
      <c r="G51" s="3" t="s">
        <v>130</v>
      </c>
    </row>
    <row r="52" customFormat="false" ht="23.25" hidden="false" customHeight="true" outlineLevel="0" collapsed="false">
      <c r="A52" s="3" t="n">
        <v>1910</v>
      </c>
      <c r="B52" s="3" t="s">
        <v>7</v>
      </c>
      <c r="C52" s="3" t="s">
        <v>7</v>
      </c>
      <c r="D52" s="3" t="s">
        <v>131</v>
      </c>
      <c r="E52" s="3" t="n">
        <v>10</v>
      </c>
      <c r="F52" s="3" t="s">
        <v>34</v>
      </c>
      <c r="G52" s="3" t="s">
        <v>132</v>
      </c>
    </row>
    <row r="53" customFormat="false" ht="23.25" hidden="false" customHeight="true" outlineLevel="0" collapsed="false">
      <c r="A53" s="3" t="n">
        <v>1910</v>
      </c>
      <c r="B53" s="3" t="s">
        <v>7</v>
      </c>
      <c r="C53" s="3" t="s">
        <v>7</v>
      </c>
      <c r="D53" s="3" t="s">
        <v>133</v>
      </c>
      <c r="E53" s="3" t="n">
        <v>5</v>
      </c>
      <c r="F53" s="3" t="s">
        <v>9</v>
      </c>
      <c r="G53" s="3" t="s">
        <v>134</v>
      </c>
    </row>
    <row r="54" customFormat="false" ht="34.5" hidden="false" customHeight="true" outlineLevel="0" collapsed="false">
      <c r="A54" s="3" t="n">
        <v>1910</v>
      </c>
      <c r="B54" s="3" t="s">
        <v>47</v>
      </c>
      <c r="C54" s="3" t="s">
        <v>48</v>
      </c>
      <c r="D54" s="3" t="s">
        <v>135</v>
      </c>
      <c r="E54" s="3" t="n">
        <v>14</v>
      </c>
      <c r="F54" s="3" t="s">
        <v>9</v>
      </c>
      <c r="G54" s="3" t="s">
        <v>136</v>
      </c>
    </row>
    <row r="55" customFormat="false" ht="34.5" hidden="false" customHeight="true" outlineLevel="0" collapsed="false">
      <c r="A55" s="3" t="n">
        <v>1910</v>
      </c>
      <c r="B55" s="3" t="s">
        <v>23</v>
      </c>
      <c r="C55" s="3" t="s">
        <v>23</v>
      </c>
      <c r="D55" s="3" t="s">
        <v>137</v>
      </c>
      <c r="E55" s="3" t="n">
        <v>10</v>
      </c>
      <c r="F55" s="3" t="s">
        <v>34</v>
      </c>
      <c r="G55" s="3" t="s">
        <v>138</v>
      </c>
    </row>
    <row r="56" customFormat="false" ht="23.25" hidden="false" customHeight="true" outlineLevel="0" collapsed="false">
      <c r="A56" s="3" t="n">
        <v>1910</v>
      </c>
      <c r="B56" s="3" t="s">
        <v>23</v>
      </c>
      <c r="C56" s="3" t="s">
        <v>23</v>
      </c>
      <c r="D56" s="3" t="s">
        <v>139</v>
      </c>
      <c r="E56" s="3" t="n">
        <v>13</v>
      </c>
      <c r="F56" s="3" t="s">
        <v>13</v>
      </c>
      <c r="G56" s="3" t="s">
        <v>14</v>
      </c>
    </row>
    <row r="57" customFormat="false" ht="23.25" hidden="false" customHeight="true" outlineLevel="0" collapsed="false">
      <c r="A57" s="3" t="n">
        <v>1910</v>
      </c>
      <c r="B57" s="3" t="s">
        <v>140</v>
      </c>
      <c r="C57" s="3" t="s">
        <v>140</v>
      </c>
      <c r="D57" s="3" t="s">
        <v>141</v>
      </c>
      <c r="E57" s="3" t="n">
        <v>26</v>
      </c>
      <c r="F57" s="3" t="s">
        <v>9</v>
      </c>
      <c r="G57" s="3" t="s">
        <v>142</v>
      </c>
    </row>
    <row r="58" customFormat="false" ht="23.25" hidden="false" customHeight="true" outlineLevel="0" collapsed="false">
      <c r="A58" s="3" t="n">
        <v>1910</v>
      </c>
      <c r="B58" s="3" t="s">
        <v>107</v>
      </c>
      <c r="C58" s="3" t="s">
        <v>107</v>
      </c>
      <c r="D58" s="3" t="s">
        <v>143</v>
      </c>
      <c r="E58" s="3" t="n">
        <v>9</v>
      </c>
      <c r="F58" s="3" t="s">
        <v>13</v>
      </c>
      <c r="G58" s="3" t="s">
        <v>14</v>
      </c>
    </row>
    <row r="59" customFormat="false" ht="23.25" hidden="false" customHeight="true" outlineLevel="0" collapsed="false">
      <c r="A59" s="3" t="n">
        <v>1912</v>
      </c>
      <c r="B59" s="3" t="s">
        <v>144</v>
      </c>
      <c r="C59" s="3" t="s">
        <v>144</v>
      </c>
      <c r="D59" s="3" t="s">
        <v>145</v>
      </c>
      <c r="E59" s="3" t="n">
        <v>15</v>
      </c>
      <c r="F59" s="3" t="s">
        <v>9</v>
      </c>
      <c r="G59" s="3" t="s">
        <v>146</v>
      </c>
    </row>
    <row r="60" customFormat="false" ht="23.25" hidden="false" customHeight="true" outlineLevel="0" collapsed="false">
      <c r="A60" s="3" t="n">
        <v>1912</v>
      </c>
      <c r="B60" s="3" t="s">
        <v>147</v>
      </c>
      <c r="C60" s="3" t="s">
        <v>147</v>
      </c>
      <c r="D60" s="3" t="s">
        <v>148</v>
      </c>
      <c r="E60" s="3" t="n">
        <v>4</v>
      </c>
      <c r="F60" s="3" t="s">
        <v>13</v>
      </c>
      <c r="G60" s="3" t="s">
        <v>14</v>
      </c>
    </row>
    <row r="61" customFormat="false" ht="23.25" hidden="false" customHeight="true" outlineLevel="0" collapsed="false">
      <c r="A61" s="3" t="n">
        <v>1912</v>
      </c>
      <c r="B61" s="3" t="s">
        <v>149</v>
      </c>
      <c r="C61" s="3" t="s">
        <v>149</v>
      </c>
      <c r="D61" s="3" t="s">
        <v>150</v>
      </c>
      <c r="E61" s="3" t="n">
        <v>9</v>
      </c>
      <c r="F61" s="3" t="s">
        <v>9</v>
      </c>
      <c r="G61" s="3" t="s">
        <v>151</v>
      </c>
    </row>
    <row r="62" customFormat="false" ht="23.25" hidden="false" customHeight="true" outlineLevel="0" collapsed="false">
      <c r="A62" s="3" t="n">
        <v>1912</v>
      </c>
      <c r="B62" s="3" t="s">
        <v>149</v>
      </c>
      <c r="C62" s="3" t="s">
        <v>149</v>
      </c>
      <c r="D62" s="3" t="s">
        <v>152</v>
      </c>
      <c r="E62" s="3" t="n">
        <v>8</v>
      </c>
      <c r="F62" s="3" t="s">
        <v>9</v>
      </c>
      <c r="G62" s="3" t="s">
        <v>151</v>
      </c>
    </row>
    <row r="63" customFormat="false" ht="23.25" hidden="false" customHeight="true" outlineLevel="0" collapsed="false">
      <c r="A63" s="3" t="n">
        <v>1912</v>
      </c>
      <c r="B63" s="3" t="s">
        <v>7</v>
      </c>
      <c r="C63" s="3" t="s">
        <v>7</v>
      </c>
      <c r="D63" s="3" t="s">
        <v>153</v>
      </c>
      <c r="E63" s="3" t="n">
        <v>27</v>
      </c>
      <c r="F63" s="3" t="s">
        <v>31</v>
      </c>
      <c r="G63" s="3" t="s">
        <v>154</v>
      </c>
    </row>
    <row r="64" customFormat="false" ht="23.25" hidden="false" customHeight="true" outlineLevel="0" collapsed="false">
      <c r="A64" s="3" t="n">
        <v>1912</v>
      </c>
      <c r="B64" s="3" t="s">
        <v>155</v>
      </c>
      <c r="C64" s="3" t="s">
        <v>155</v>
      </c>
      <c r="D64" s="3" t="s">
        <v>156</v>
      </c>
      <c r="E64" s="3" t="n">
        <v>28</v>
      </c>
      <c r="F64" s="3" t="s">
        <v>13</v>
      </c>
      <c r="G64" s="3" t="s">
        <v>14</v>
      </c>
    </row>
    <row r="65" customFormat="false" ht="23.25" hidden="false" customHeight="true" outlineLevel="0" collapsed="false">
      <c r="A65" s="3" t="n">
        <v>1912</v>
      </c>
      <c r="B65" s="3" t="s">
        <v>47</v>
      </c>
      <c r="C65" s="3" t="s">
        <v>48</v>
      </c>
      <c r="D65" s="3" t="s">
        <v>157</v>
      </c>
      <c r="E65" s="3" t="n">
        <v>40</v>
      </c>
      <c r="F65" s="3" t="s">
        <v>9</v>
      </c>
      <c r="G65" s="3" t="s">
        <v>158</v>
      </c>
    </row>
    <row r="66" customFormat="false" ht="23.25" hidden="false" customHeight="true" outlineLevel="0" collapsed="false">
      <c r="A66" s="3" t="n">
        <v>1912</v>
      </c>
      <c r="B66" s="3" t="s">
        <v>159</v>
      </c>
      <c r="C66" s="3" t="s">
        <v>159</v>
      </c>
      <c r="D66" s="3" t="s">
        <v>160</v>
      </c>
      <c r="E66" s="3" t="n">
        <v>7</v>
      </c>
      <c r="F66" s="3" t="s">
        <v>13</v>
      </c>
      <c r="G66" s="3" t="s">
        <v>14</v>
      </c>
    </row>
    <row r="67" customFormat="false" ht="23.25" hidden="false" customHeight="true" outlineLevel="0" collapsed="false">
      <c r="A67" s="3" t="n">
        <v>1912</v>
      </c>
      <c r="B67" s="3" t="s">
        <v>23</v>
      </c>
      <c r="C67" s="3" t="s">
        <v>23</v>
      </c>
      <c r="D67" s="3" t="s">
        <v>161</v>
      </c>
      <c r="E67" s="3" t="n">
        <v>10</v>
      </c>
      <c r="F67" s="3" t="s">
        <v>13</v>
      </c>
      <c r="G67" s="3" t="s">
        <v>14</v>
      </c>
    </row>
    <row r="68" customFormat="false" ht="23.25" hidden="false" customHeight="true" outlineLevel="0" collapsed="false">
      <c r="A68" s="3" t="n">
        <v>1912</v>
      </c>
      <c r="B68" s="3" t="s">
        <v>23</v>
      </c>
      <c r="C68" s="3" t="s">
        <v>162</v>
      </c>
      <c r="D68" s="3" t="s">
        <v>163</v>
      </c>
      <c r="E68" s="3" t="n">
        <v>59</v>
      </c>
      <c r="F68" s="3" t="s">
        <v>31</v>
      </c>
      <c r="G68" s="3" t="s">
        <v>164</v>
      </c>
    </row>
    <row r="69" customFormat="false" ht="23.25" hidden="false" customHeight="true" outlineLevel="0" collapsed="false">
      <c r="A69" s="3" t="n">
        <v>1912</v>
      </c>
      <c r="B69" s="3" t="s">
        <v>113</v>
      </c>
      <c r="C69" s="3" t="s">
        <v>113</v>
      </c>
      <c r="D69" s="3" t="s">
        <v>161</v>
      </c>
      <c r="E69" s="3" t="n">
        <v>4</v>
      </c>
      <c r="F69" s="3" t="s">
        <v>13</v>
      </c>
      <c r="G69" s="3" t="s">
        <v>14</v>
      </c>
    </row>
    <row r="70" customFormat="false" ht="23.25" hidden="false" customHeight="true" outlineLevel="0" collapsed="false">
      <c r="A70" s="3" t="n">
        <v>1912</v>
      </c>
      <c r="B70" s="3" t="s">
        <v>113</v>
      </c>
      <c r="C70" s="3" t="s">
        <v>113</v>
      </c>
      <c r="D70" s="3" t="s">
        <v>165</v>
      </c>
      <c r="E70" s="3" t="n">
        <v>10</v>
      </c>
      <c r="F70" s="3" t="s">
        <v>9</v>
      </c>
      <c r="G70" s="3" t="s">
        <v>166</v>
      </c>
    </row>
    <row r="71" customFormat="false" ht="23.25" hidden="false" customHeight="true" outlineLevel="0" collapsed="false">
      <c r="A71" s="3" t="n">
        <v>1912</v>
      </c>
      <c r="B71" s="3" t="s">
        <v>113</v>
      </c>
      <c r="C71" s="3" t="s">
        <v>113</v>
      </c>
      <c r="D71" s="3" t="s">
        <v>161</v>
      </c>
      <c r="E71" s="3" t="n">
        <v>4</v>
      </c>
      <c r="F71" s="3" t="s">
        <v>9</v>
      </c>
      <c r="G71" s="3" t="s">
        <v>167</v>
      </c>
    </row>
    <row r="72" customFormat="false" ht="23.25" hidden="false" customHeight="true" outlineLevel="0" collapsed="false">
      <c r="A72" s="3" t="n">
        <v>1912</v>
      </c>
      <c r="B72" s="3" t="s">
        <v>168</v>
      </c>
      <c r="C72" s="3" t="s">
        <v>168</v>
      </c>
      <c r="D72" s="3" t="s">
        <v>169</v>
      </c>
      <c r="E72" s="3" t="n">
        <v>28</v>
      </c>
      <c r="F72" s="3" t="s">
        <v>9</v>
      </c>
      <c r="G72" s="3" t="s">
        <v>170</v>
      </c>
    </row>
    <row r="73" customFormat="false" ht="34.5" hidden="false" customHeight="true" outlineLevel="0" collapsed="false">
      <c r="A73" s="3" t="n">
        <v>1913</v>
      </c>
      <c r="B73" s="3" t="s">
        <v>149</v>
      </c>
      <c r="C73" s="3" t="s">
        <v>149</v>
      </c>
      <c r="D73" s="3" t="s">
        <v>171</v>
      </c>
      <c r="E73" s="3" t="n">
        <v>7</v>
      </c>
      <c r="F73" s="3" t="s">
        <v>31</v>
      </c>
      <c r="G73" s="3" t="s">
        <v>172</v>
      </c>
    </row>
    <row r="74" customFormat="false" ht="34.5" hidden="false" customHeight="true" outlineLevel="0" collapsed="false">
      <c r="A74" s="3" t="n">
        <v>1913</v>
      </c>
      <c r="B74" s="3" t="s">
        <v>7</v>
      </c>
      <c r="C74" s="3" t="s">
        <v>63</v>
      </c>
      <c r="D74" s="3" t="s">
        <v>173</v>
      </c>
      <c r="E74" s="3" t="n">
        <v>34</v>
      </c>
      <c r="F74" s="3" t="s">
        <v>9</v>
      </c>
      <c r="G74" s="3" t="s">
        <v>174</v>
      </c>
    </row>
    <row r="75" customFormat="false" ht="23.25" hidden="false" customHeight="true" outlineLevel="0" collapsed="false">
      <c r="A75" s="3" t="n">
        <v>1913</v>
      </c>
      <c r="B75" s="3" t="s">
        <v>23</v>
      </c>
      <c r="C75" s="3" t="s">
        <v>23</v>
      </c>
      <c r="D75" s="3" t="s">
        <v>175</v>
      </c>
      <c r="E75" s="3" t="n">
        <v>5</v>
      </c>
      <c r="F75" s="3" t="s">
        <v>13</v>
      </c>
      <c r="G75" s="3" t="s">
        <v>14</v>
      </c>
    </row>
    <row r="76" customFormat="false" ht="23.25" hidden="false" customHeight="true" outlineLevel="0" collapsed="false">
      <c r="A76" s="3" t="n">
        <v>1913</v>
      </c>
      <c r="B76" s="3" t="s">
        <v>168</v>
      </c>
      <c r="C76" s="3" t="s">
        <v>168</v>
      </c>
      <c r="D76" s="3" t="s">
        <v>176</v>
      </c>
      <c r="E76" s="3" t="n">
        <v>31</v>
      </c>
      <c r="F76" s="3" t="s">
        <v>9</v>
      </c>
      <c r="G76" s="3" t="s">
        <v>170</v>
      </c>
    </row>
    <row r="77" customFormat="false" ht="15" hidden="false" customHeight="true" outlineLevel="0" collapsed="false">
      <c r="A77" s="3" t="n">
        <v>1913</v>
      </c>
      <c r="B77" s="3" t="s">
        <v>177</v>
      </c>
      <c r="C77" s="3" t="s">
        <v>177</v>
      </c>
      <c r="D77" s="3" t="s">
        <v>161</v>
      </c>
      <c r="E77" s="3" t="n">
        <v>0</v>
      </c>
      <c r="F77" s="3" t="s">
        <v>178</v>
      </c>
      <c r="G77" s="3" t="s">
        <v>179</v>
      </c>
    </row>
    <row r="78" customFormat="false" ht="23.25" hidden="false" customHeight="true" outlineLevel="0" collapsed="false">
      <c r="A78" s="3" t="n">
        <v>1914</v>
      </c>
      <c r="B78" s="3" t="s">
        <v>70</v>
      </c>
      <c r="C78" s="3" t="s">
        <v>70</v>
      </c>
      <c r="D78" s="3" t="s">
        <v>180</v>
      </c>
      <c r="E78" s="3" t="n">
        <v>1</v>
      </c>
      <c r="F78" s="3" t="s">
        <v>13</v>
      </c>
      <c r="G78" s="3" t="s">
        <v>14</v>
      </c>
    </row>
    <row r="79" customFormat="false" ht="23.25" hidden="false" customHeight="true" outlineLevel="0" collapsed="false">
      <c r="A79" s="3" t="n">
        <v>1914</v>
      </c>
      <c r="B79" s="3" t="s">
        <v>181</v>
      </c>
      <c r="C79" s="3" t="s">
        <v>181</v>
      </c>
      <c r="D79" s="3" t="s">
        <v>182</v>
      </c>
      <c r="E79" s="3" t="n">
        <v>15</v>
      </c>
      <c r="F79" s="3" t="s">
        <v>31</v>
      </c>
      <c r="G79" s="3" t="s">
        <v>183</v>
      </c>
    </row>
    <row r="80" customFormat="false" ht="23.25" hidden="false" customHeight="true" outlineLevel="0" collapsed="false">
      <c r="A80" s="3" t="n">
        <v>1914</v>
      </c>
      <c r="B80" s="3" t="s">
        <v>23</v>
      </c>
      <c r="C80" s="3" t="s">
        <v>184</v>
      </c>
      <c r="D80" s="3" t="s">
        <v>185</v>
      </c>
      <c r="E80" s="3" t="n">
        <v>0</v>
      </c>
      <c r="F80" s="3" t="s">
        <v>178</v>
      </c>
      <c r="G80" s="3" t="s">
        <v>179</v>
      </c>
    </row>
    <row r="81" customFormat="false" ht="23.25" hidden="false" customHeight="true" outlineLevel="0" collapsed="false">
      <c r="A81" s="3" t="n">
        <v>1914</v>
      </c>
      <c r="B81" s="3" t="s">
        <v>186</v>
      </c>
      <c r="C81" s="3" t="s">
        <v>186</v>
      </c>
      <c r="D81" s="3" t="s">
        <v>163</v>
      </c>
      <c r="E81" s="3" t="n">
        <v>17</v>
      </c>
      <c r="F81" s="3" t="s">
        <v>13</v>
      </c>
      <c r="G81" s="3" t="s">
        <v>14</v>
      </c>
    </row>
    <row r="82" customFormat="false" ht="34.5" hidden="false" customHeight="true" outlineLevel="0" collapsed="false">
      <c r="A82" s="3" t="n">
        <v>1916</v>
      </c>
      <c r="B82" s="3" t="s">
        <v>187</v>
      </c>
      <c r="C82" s="3" t="s">
        <v>187</v>
      </c>
      <c r="D82" s="3" t="s">
        <v>188</v>
      </c>
      <c r="E82" s="3" t="n">
        <v>65</v>
      </c>
      <c r="F82" s="3" t="s">
        <v>34</v>
      </c>
      <c r="G82" s="3" t="s">
        <v>189</v>
      </c>
    </row>
    <row r="83" customFormat="false" ht="23.25" hidden="false" customHeight="true" outlineLevel="0" collapsed="false">
      <c r="A83" s="3" t="n">
        <v>1917</v>
      </c>
      <c r="B83" s="3" t="s">
        <v>190</v>
      </c>
      <c r="C83" s="3" t="s">
        <v>190</v>
      </c>
      <c r="D83" s="3" t="s">
        <v>191</v>
      </c>
      <c r="E83" s="3" t="n">
        <v>22</v>
      </c>
      <c r="F83" s="3" t="s">
        <v>9</v>
      </c>
      <c r="G83" s="3" t="s">
        <v>192</v>
      </c>
    </row>
    <row r="84" customFormat="false" ht="23.25" hidden="false" customHeight="true" outlineLevel="0" collapsed="false">
      <c r="A84" s="3" t="n">
        <v>1917</v>
      </c>
      <c r="B84" s="3" t="s">
        <v>23</v>
      </c>
      <c r="C84" s="3" t="s">
        <v>23</v>
      </c>
      <c r="D84" s="3" t="s">
        <v>163</v>
      </c>
      <c r="E84" s="3" t="n">
        <v>3</v>
      </c>
      <c r="F84" s="3" t="s">
        <v>34</v>
      </c>
      <c r="G84" s="3" t="s">
        <v>193</v>
      </c>
    </row>
    <row r="85" customFormat="false" ht="23.25" hidden="false" customHeight="true" outlineLevel="0" collapsed="false">
      <c r="A85" s="3" t="n">
        <v>1917</v>
      </c>
      <c r="B85" s="3" t="s">
        <v>23</v>
      </c>
      <c r="C85" s="3" t="s">
        <v>194</v>
      </c>
      <c r="D85" s="3" t="s">
        <v>195</v>
      </c>
      <c r="E85" s="3" t="n">
        <v>10</v>
      </c>
      <c r="F85" s="3" t="s">
        <v>13</v>
      </c>
      <c r="G85" s="3" t="s">
        <v>14</v>
      </c>
    </row>
    <row r="86" customFormat="false" ht="23.25" hidden="false" customHeight="true" outlineLevel="0" collapsed="false">
      <c r="A86" s="3" t="n">
        <v>1917</v>
      </c>
      <c r="B86" s="3" t="s">
        <v>23</v>
      </c>
      <c r="C86" s="3" t="s">
        <v>53</v>
      </c>
      <c r="D86" s="3" t="s">
        <v>196</v>
      </c>
      <c r="E86" s="3" t="n">
        <v>5</v>
      </c>
      <c r="F86" s="3" t="s">
        <v>31</v>
      </c>
      <c r="G86" s="3" t="s">
        <v>197</v>
      </c>
    </row>
    <row r="87" customFormat="false" ht="23.25" hidden="false" customHeight="true" outlineLevel="0" collapsed="false">
      <c r="A87" s="3" t="n">
        <v>1917</v>
      </c>
      <c r="B87" s="3" t="s">
        <v>23</v>
      </c>
      <c r="C87" s="3" t="s">
        <v>53</v>
      </c>
      <c r="D87" s="3" t="s">
        <v>161</v>
      </c>
      <c r="E87" s="3" t="n">
        <v>15</v>
      </c>
      <c r="F87" s="3" t="s">
        <v>9</v>
      </c>
      <c r="G87" s="3" t="s">
        <v>198</v>
      </c>
    </row>
    <row r="88" customFormat="false" ht="23.25" hidden="false" customHeight="true" outlineLevel="0" collapsed="false">
      <c r="A88" s="3" t="n">
        <v>1917</v>
      </c>
      <c r="B88" s="3" t="s">
        <v>23</v>
      </c>
      <c r="C88" s="3" t="s">
        <v>23</v>
      </c>
      <c r="D88" s="3" t="s">
        <v>199</v>
      </c>
      <c r="E88" s="3" t="n">
        <v>8</v>
      </c>
      <c r="F88" s="3" t="s">
        <v>9</v>
      </c>
      <c r="G88" s="3" t="s">
        <v>200</v>
      </c>
    </row>
    <row r="89" customFormat="false" ht="34.5" hidden="false" customHeight="true" outlineLevel="0" collapsed="false">
      <c r="A89" s="3" t="n">
        <v>1917</v>
      </c>
      <c r="B89" s="3" t="s">
        <v>23</v>
      </c>
      <c r="C89" s="3" t="s">
        <v>23</v>
      </c>
      <c r="D89" s="3" t="s">
        <v>201</v>
      </c>
      <c r="E89" s="3" t="n">
        <v>5</v>
      </c>
      <c r="F89" s="3" t="s">
        <v>9</v>
      </c>
      <c r="G89" s="3" t="s">
        <v>202</v>
      </c>
    </row>
    <row r="90" customFormat="false" ht="23.25" hidden="false" customHeight="true" outlineLevel="0" collapsed="false">
      <c r="A90" s="3" t="n">
        <v>1917</v>
      </c>
      <c r="B90" s="3" t="s">
        <v>23</v>
      </c>
      <c r="C90" s="3" t="s">
        <v>53</v>
      </c>
      <c r="D90" s="3" t="s">
        <v>203</v>
      </c>
      <c r="E90" s="3" t="n">
        <v>3</v>
      </c>
      <c r="F90" s="3" t="s">
        <v>13</v>
      </c>
      <c r="G90" s="3" t="s">
        <v>14</v>
      </c>
    </row>
    <row r="91" customFormat="false" ht="23.25" hidden="false" customHeight="true" outlineLevel="0" collapsed="false">
      <c r="A91" s="3" t="n">
        <v>1919</v>
      </c>
      <c r="B91" s="3" t="s">
        <v>190</v>
      </c>
      <c r="C91" s="3" t="s">
        <v>190</v>
      </c>
      <c r="D91" s="3" t="s">
        <v>191</v>
      </c>
      <c r="E91" s="3" t="n">
        <v>23</v>
      </c>
      <c r="F91" s="3" t="s">
        <v>13</v>
      </c>
      <c r="G91" s="3" t="s">
        <v>14</v>
      </c>
    </row>
    <row r="92" customFormat="false" ht="23.25" hidden="false" customHeight="true" outlineLevel="0" collapsed="false">
      <c r="A92" s="3" t="n">
        <v>1919</v>
      </c>
      <c r="B92" s="3" t="s">
        <v>7</v>
      </c>
      <c r="C92" s="3" t="s">
        <v>7</v>
      </c>
      <c r="D92" s="3" t="s">
        <v>204</v>
      </c>
      <c r="E92" s="3" t="n">
        <v>11</v>
      </c>
      <c r="F92" s="3" t="s">
        <v>13</v>
      </c>
      <c r="G92" s="3" t="s">
        <v>14</v>
      </c>
    </row>
    <row r="93" customFormat="false" ht="23.25" hidden="false" customHeight="true" outlineLevel="0" collapsed="false">
      <c r="A93" s="3" t="n">
        <v>1919</v>
      </c>
      <c r="B93" s="3" t="s">
        <v>23</v>
      </c>
      <c r="C93" s="3" t="s">
        <v>23</v>
      </c>
      <c r="D93" s="3" t="s">
        <v>205</v>
      </c>
      <c r="E93" s="3" t="n">
        <v>18</v>
      </c>
      <c r="F93" s="3" t="s">
        <v>34</v>
      </c>
      <c r="G93" s="3" t="s">
        <v>206</v>
      </c>
    </row>
    <row r="94" customFormat="false" ht="34.5" hidden="false" customHeight="true" outlineLevel="0" collapsed="false">
      <c r="A94" s="3" t="n">
        <v>1919</v>
      </c>
      <c r="B94" s="3" t="s">
        <v>23</v>
      </c>
      <c r="C94" s="3" t="s">
        <v>53</v>
      </c>
      <c r="D94" s="3" t="s">
        <v>207</v>
      </c>
      <c r="E94" s="3" t="n">
        <v>8</v>
      </c>
      <c r="F94" s="3" t="s">
        <v>9</v>
      </c>
      <c r="G94" s="3" t="s">
        <v>208</v>
      </c>
    </row>
    <row r="95" customFormat="false" ht="23.25" hidden="false" customHeight="true" outlineLevel="0" collapsed="false">
      <c r="A95" s="3" t="n">
        <v>1919</v>
      </c>
      <c r="B95" s="3" t="s">
        <v>23</v>
      </c>
      <c r="C95" s="3" t="s">
        <v>23</v>
      </c>
      <c r="D95" s="3" t="s">
        <v>209</v>
      </c>
      <c r="E95" s="3" t="n">
        <v>4</v>
      </c>
      <c r="F95" s="3" t="s">
        <v>13</v>
      </c>
      <c r="G95" s="3" t="s">
        <v>14</v>
      </c>
    </row>
    <row r="96" customFormat="false" ht="23.25" hidden="false" customHeight="true" outlineLevel="0" collapsed="false">
      <c r="A96" s="3" t="n">
        <v>1919</v>
      </c>
      <c r="B96" s="3" t="s">
        <v>23</v>
      </c>
      <c r="C96" s="3" t="s">
        <v>210</v>
      </c>
      <c r="D96" s="3" t="s">
        <v>211</v>
      </c>
      <c r="E96" s="3" t="n">
        <v>34</v>
      </c>
      <c r="F96" s="3" t="s">
        <v>13</v>
      </c>
      <c r="G96" s="3" t="s">
        <v>14</v>
      </c>
    </row>
    <row r="97" customFormat="false" ht="23.25" hidden="false" customHeight="true" outlineLevel="0" collapsed="false">
      <c r="A97" s="3" t="n">
        <v>1919</v>
      </c>
      <c r="B97" s="3" t="s">
        <v>23</v>
      </c>
      <c r="C97" s="3" t="s">
        <v>23</v>
      </c>
      <c r="D97" s="3" t="s">
        <v>211</v>
      </c>
      <c r="E97" s="3" t="n">
        <v>20</v>
      </c>
      <c r="F97" s="3" t="s">
        <v>13</v>
      </c>
      <c r="G97" s="3" t="s">
        <v>14</v>
      </c>
    </row>
    <row r="98" customFormat="false" ht="23.25" hidden="false" customHeight="true" outlineLevel="0" collapsed="false">
      <c r="A98" s="3" t="n">
        <v>1919</v>
      </c>
      <c r="B98" s="3" t="s">
        <v>23</v>
      </c>
      <c r="C98" s="3" t="s">
        <v>212</v>
      </c>
      <c r="D98" s="3" t="s">
        <v>213</v>
      </c>
      <c r="E98" s="3" t="n">
        <v>16</v>
      </c>
      <c r="F98" s="3" t="s">
        <v>9</v>
      </c>
      <c r="G98" s="3" t="s">
        <v>214</v>
      </c>
    </row>
    <row r="99" customFormat="false" ht="34.5" hidden="false" customHeight="true" outlineLevel="0" collapsed="false">
      <c r="A99" s="3" t="n">
        <v>1919</v>
      </c>
      <c r="B99" s="3" t="s">
        <v>168</v>
      </c>
      <c r="C99" s="3" t="s">
        <v>215</v>
      </c>
      <c r="D99" s="3" t="s">
        <v>216</v>
      </c>
      <c r="E99" s="3" t="n">
        <v>11</v>
      </c>
      <c r="F99" s="3" t="s">
        <v>9</v>
      </c>
      <c r="G99" s="3" t="s">
        <v>217</v>
      </c>
    </row>
    <row r="100" customFormat="false" ht="23.25" hidden="false" customHeight="true" outlineLevel="0" collapsed="false">
      <c r="A100" s="3" t="n">
        <v>1920</v>
      </c>
      <c r="B100" s="3" t="s">
        <v>218</v>
      </c>
      <c r="C100" s="3" t="s">
        <v>218</v>
      </c>
      <c r="D100" s="3" t="s">
        <v>219</v>
      </c>
      <c r="E100" s="3" t="n">
        <v>5</v>
      </c>
      <c r="F100" s="3" t="s">
        <v>13</v>
      </c>
      <c r="G100" s="3" t="s">
        <v>14</v>
      </c>
    </row>
    <row r="101" customFormat="false" ht="23.25" hidden="false" customHeight="true" outlineLevel="0" collapsed="false">
      <c r="A101" s="3" t="n">
        <v>1920</v>
      </c>
      <c r="B101" s="3" t="s">
        <v>220</v>
      </c>
      <c r="C101" s="3" t="s">
        <v>220</v>
      </c>
      <c r="D101" s="3" t="s">
        <v>221</v>
      </c>
      <c r="E101" s="3" t="n">
        <v>18</v>
      </c>
      <c r="F101" s="3" t="s">
        <v>13</v>
      </c>
      <c r="G101" s="3" t="s">
        <v>14</v>
      </c>
    </row>
    <row r="102" customFormat="false" ht="34.5" hidden="false" customHeight="true" outlineLevel="0" collapsed="false">
      <c r="A102" s="3" t="n">
        <v>1920</v>
      </c>
      <c r="B102" s="3" t="s">
        <v>222</v>
      </c>
      <c r="C102" s="3" t="s">
        <v>222</v>
      </c>
      <c r="D102" s="3" t="s">
        <v>223</v>
      </c>
      <c r="E102" s="3" t="n">
        <v>5</v>
      </c>
      <c r="F102" s="3" t="s">
        <v>34</v>
      </c>
      <c r="G102" s="3" t="s">
        <v>224</v>
      </c>
    </row>
    <row r="103" customFormat="false" ht="23.25" hidden="false" customHeight="true" outlineLevel="0" collapsed="false">
      <c r="A103" s="3" t="n">
        <v>1920</v>
      </c>
      <c r="B103" s="3" t="s">
        <v>187</v>
      </c>
      <c r="C103" s="3" t="s">
        <v>187</v>
      </c>
      <c r="D103" s="3" t="s">
        <v>225</v>
      </c>
      <c r="E103" s="3" t="n">
        <v>28</v>
      </c>
      <c r="F103" s="3" t="s">
        <v>34</v>
      </c>
      <c r="G103" s="3" t="s">
        <v>226</v>
      </c>
    </row>
    <row r="104" customFormat="false" ht="23.25" hidden="false" customHeight="true" outlineLevel="0" collapsed="false">
      <c r="A104" s="3" t="n">
        <v>1920</v>
      </c>
      <c r="B104" s="3" t="s">
        <v>187</v>
      </c>
      <c r="C104" s="3" t="s">
        <v>187</v>
      </c>
      <c r="D104" s="3" t="s">
        <v>227</v>
      </c>
      <c r="E104" s="3" t="n">
        <v>26</v>
      </c>
      <c r="F104" s="3" t="s">
        <v>13</v>
      </c>
      <c r="G104" s="3" t="s">
        <v>14</v>
      </c>
    </row>
    <row r="105" customFormat="false" ht="23.25" hidden="false" customHeight="true" outlineLevel="0" collapsed="false">
      <c r="A105" s="3" t="n">
        <v>1920</v>
      </c>
      <c r="B105" s="3" t="s">
        <v>187</v>
      </c>
      <c r="C105" s="3" t="s">
        <v>228</v>
      </c>
      <c r="D105" s="3" t="s">
        <v>229</v>
      </c>
      <c r="E105" s="3" t="n">
        <v>20</v>
      </c>
      <c r="F105" s="3" t="s">
        <v>13</v>
      </c>
      <c r="G105" s="3" t="s">
        <v>14</v>
      </c>
    </row>
    <row r="106" customFormat="false" ht="23.25" hidden="false" customHeight="true" outlineLevel="0" collapsed="false">
      <c r="A106" s="3" t="n">
        <v>1920</v>
      </c>
      <c r="B106" s="3" t="s">
        <v>230</v>
      </c>
      <c r="C106" s="3" t="s">
        <v>230</v>
      </c>
      <c r="D106" s="3" t="s">
        <v>231</v>
      </c>
      <c r="E106" s="3" t="n">
        <v>5</v>
      </c>
      <c r="F106" s="3" t="s">
        <v>13</v>
      </c>
      <c r="G106" s="3" t="s">
        <v>14</v>
      </c>
    </row>
    <row r="107" customFormat="false" ht="23.25" hidden="false" customHeight="true" outlineLevel="0" collapsed="false">
      <c r="A107" s="3" t="n">
        <v>1920</v>
      </c>
      <c r="B107" s="3" t="s">
        <v>168</v>
      </c>
      <c r="C107" s="3" t="s">
        <v>168</v>
      </c>
      <c r="D107" s="3" t="s">
        <v>232</v>
      </c>
      <c r="E107" s="3" t="n">
        <v>11</v>
      </c>
      <c r="F107" s="3" t="s">
        <v>9</v>
      </c>
      <c r="G107" s="3" t="s">
        <v>233</v>
      </c>
    </row>
    <row r="108" customFormat="false" ht="34.5" hidden="false" customHeight="true" outlineLevel="0" collapsed="false">
      <c r="A108" s="3" t="n">
        <v>1921</v>
      </c>
      <c r="B108" s="3" t="s">
        <v>190</v>
      </c>
      <c r="C108" s="3" t="s">
        <v>190</v>
      </c>
      <c r="D108" s="3" t="s">
        <v>234</v>
      </c>
      <c r="E108" s="3" t="n">
        <v>11</v>
      </c>
      <c r="F108" s="3" t="s">
        <v>9</v>
      </c>
      <c r="G108" s="3" t="s">
        <v>235</v>
      </c>
    </row>
    <row r="109" customFormat="false" ht="23.25" hidden="false" customHeight="true" outlineLevel="0" collapsed="false">
      <c r="A109" s="3" t="n">
        <v>1921</v>
      </c>
      <c r="B109" s="3" t="s">
        <v>190</v>
      </c>
      <c r="C109" s="3" t="s">
        <v>190</v>
      </c>
      <c r="D109" s="3" t="s">
        <v>236</v>
      </c>
      <c r="E109" s="3" t="n">
        <v>10</v>
      </c>
      <c r="F109" s="3" t="s">
        <v>31</v>
      </c>
      <c r="G109" s="3" t="s">
        <v>237</v>
      </c>
    </row>
    <row r="110" customFormat="false" ht="23.25" hidden="false" customHeight="true" outlineLevel="0" collapsed="false">
      <c r="A110" s="3" t="n">
        <v>1921</v>
      </c>
      <c r="B110" s="3" t="s">
        <v>23</v>
      </c>
      <c r="C110" s="3" t="s">
        <v>238</v>
      </c>
      <c r="D110" s="3" t="s">
        <v>239</v>
      </c>
      <c r="E110" s="3" t="n">
        <v>20</v>
      </c>
      <c r="F110" s="3" t="s">
        <v>9</v>
      </c>
      <c r="G110" s="3" t="s">
        <v>240</v>
      </c>
    </row>
    <row r="111" customFormat="false" ht="34.5" hidden="false" customHeight="true" outlineLevel="0" collapsed="false">
      <c r="A111" s="3" t="n">
        <v>1921</v>
      </c>
      <c r="B111" s="3" t="s">
        <v>23</v>
      </c>
      <c r="C111" s="3" t="s">
        <v>23</v>
      </c>
      <c r="D111" s="3" t="s">
        <v>241</v>
      </c>
      <c r="E111" s="3" t="n">
        <v>2</v>
      </c>
      <c r="F111" s="3" t="s">
        <v>31</v>
      </c>
      <c r="G111" s="3" t="s">
        <v>242</v>
      </c>
    </row>
    <row r="112" customFormat="false" ht="23.25" hidden="false" customHeight="true" outlineLevel="0" collapsed="false">
      <c r="A112" s="3" t="n">
        <v>1921</v>
      </c>
      <c r="B112" s="3" t="s">
        <v>23</v>
      </c>
      <c r="C112" s="3" t="s">
        <v>23</v>
      </c>
      <c r="D112" s="3" t="s">
        <v>243</v>
      </c>
      <c r="E112" s="3" t="n">
        <v>44</v>
      </c>
      <c r="F112" s="3" t="s">
        <v>9</v>
      </c>
      <c r="G112" s="3" t="s">
        <v>244</v>
      </c>
    </row>
    <row r="113" customFormat="false" ht="23.25" hidden="false" customHeight="true" outlineLevel="0" collapsed="false">
      <c r="A113" s="3" t="n">
        <v>1921</v>
      </c>
      <c r="B113" s="3" t="s">
        <v>23</v>
      </c>
      <c r="C113" s="3" t="s">
        <v>23</v>
      </c>
      <c r="D113" s="3" t="s">
        <v>245</v>
      </c>
      <c r="E113" s="3" t="n">
        <v>0</v>
      </c>
      <c r="F113" s="3" t="s">
        <v>178</v>
      </c>
      <c r="G113" s="3" t="s">
        <v>179</v>
      </c>
    </row>
    <row r="114" customFormat="false" ht="23.25" hidden="false" customHeight="true" outlineLevel="0" collapsed="false">
      <c r="A114" s="3" t="n">
        <v>1922</v>
      </c>
      <c r="B114" s="3" t="s">
        <v>190</v>
      </c>
      <c r="C114" s="3" t="s">
        <v>190</v>
      </c>
      <c r="D114" s="3" t="s">
        <v>246</v>
      </c>
      <c r="E114" s="3" t="n">
        <v>7</v>
      </c>
      <c r="F114" s="3" t="s">
        <v>31</v>
      </c>
      <c r="G114" s="3" t="s">
        <v>237</v>
      </c>
    </row>
    <row r="115" customFormat="false" ht="23.25" hidden="false" customHeight="true" outlineLevel="0" collapsed="false">
      <c r="A115" s="3" t="n">
        <v>1922</v>
      </c>
      <c r="B115" s="3" t="s">
        <v>190</v>
      </c>
      <c r="C115" s="3" t="s">
        <v>190</v>
      </c>
      <c r="D115" s="3" t="s">
        <v>247</v>
      </c>
      <c r="E115" s="3" t="n">
        <v>14</v>
      </c>
      <c r="F115" s="3" t="s">
        <v>31</v>
      </c>
      <c r="G115" s="3" t="s">
        <v>248</v>
      </c>
    </row>
    <row r="116" customFormat="false" ht="23.25" hidden="false" customHeight="true" outlineLevel="0" collapsed="false">
      <c r="A116" s="3" t="n">
        <v>1922</v>
      </c>
      <c r="B116" s="3" t="s">
        <v>249</v>
      </c>
      <c r="C116" s="3" t="s">
        <v>250</v>
      </c>
      <c r="D116" s="3" t="s">
        <v>251</v>
      </c>
      <c r="E116" s="3" t="n">
        <v>12</v>
      </c>
      <c r="F116" s="3" t="s">
        <v>9</v>
      </c>
      <c r="G116" s="3" t="s">
        <v>252</v>
      </c>
    </row>
    <row r="117" customFormat="false" ht="23.25" hidden="false" customHeight="true" outlineLevel="0" collapsed="false">
      <c r="A117" s="3" t="n">
        <v>1922</v>
      </c>
      <c r="B117" s="3" t="s">
        <v>7</v>
      </c>
      <c r="C117" s="3" t="s">
        <v>7</v>
      </c>
      <c r="D117" s="3" t="s">
        <v>253</v>
      </c>
      <c r="E117" s="3" t="n">
        <v>2</v>
      </c>
      <c r="F117" s="3" t="s">
        <v>13</v>
      </c>
      <c r="G117" s="3" t="s">
        <v>14</v>
      </c>
    </row>
    <row r="118" customFormat="false" ht="23.25" hidden="false" customHeight="true" outlineLevel="0" collapsed="false">
      <c r="A118" s="3" t="n">
        <v>1922</v>
      </c>
      <c r="B118" s="3" t="s">
        <v>254</v>
      </c>
      <c r="C118" s="3" t="s">
        <v>254</v>
      </c>
      <c r="D118" s="3" t="s">
        <v>255</v>
      </c>
      <c r="E118" s="3" t="n">
        <v>9</v>
      </c>
      <c r="F118" s="3" t="s">
        <v>9</v>
      </c>
      <c r="G118" s="3" t="s">
        <v>256</v>
      </c>
    </row>
    <row r="119" customFormat="false" ht="23.25" hidden="false" customHeight="true" outlineLevel="0" collapsed="false">
      <c r="A119" s="3" t="n">
        <v>1922</v>
      </c>
      <c r="B119" s="3" t="s">
        <v>155</v>
      </c>
      <c r="C119" s="3" t="s">
        <v>155</v>
      </c>
      <c r="D119" s="3" t="s">
        <v>257</v>
      </c>
      <c r="E119" s="3" t="n">
        <v>11</v>
      </c>
      <c r="F119" s="3" t="s">
        <v>13</v>
      </c>
      <c r="G119" s="3" t="s">
        <v>14</v>
      </c>
    </row>
    <row r="120" customFormat="false" ht="34.5" hidden="false" customHeight="true" outlineLevel="0" collapsed="false">
      <c r="A120" s="3" t="n">
        <v>1922</v>
      </c>
      <c r="B120" s="3" t="s">
        <v>23</v>
      </c>
      <c r="C120" s="3" t="s">
        <v>258</v>
      </c>
      <c r="D120" s="3" t="s">
        <v>259</v>
      </c>
      <c r="E120" s="3" t="n">
        <v>4</v>
      </c>
      <c r="F120" s="3" t="s">
        <v>9</v>
      </c>
      <c r="G120" s="3" t="s">
        <v>260</v>
      </c>
    </row>
    <row r="121" customFormat="false" ht="34.5" hidden="false" customHeight="true" outlineLevel="0" collapsed="false">
      <c r="A121" s="3" t="n">
        <v>1922</v>
      </c>
      <c r="B121" s="3" t="s">
        <v>23</v>
      </c>
      <c r="C121" s="3" t="s">
        <v>212</v>
      </c>
      <c r="D121" s="3" t="s">
        <v>261</v>
      </c>
      <c r="E121" s="3" t="n">
        <v>5</v>
      </c>
      <c r="F121" s="3" t="s">
        <v>13</v>
      </c>
      <c r="G121" s="3" t="s">
        <v>14</v>
      </c>
    </row>
    <row r="122" customFormat="false" ht="23.25" hidden="false" customHeight="true" outlineLevel="0" collapsed="false">
      <c r="A122" s="3" t="n">
        <v>1922</v>
      </c>
      <c r="B122" s="3" t="s">
        <v>23</v>
      </c>
      <c r="C122" s="3" t="s">
        <v>262</v>
      </c>
      <c r="D122" s="3" t="s">
        <v>263</v>
      </c>
      <c r="E122" s="3" t="n">
        <v>9</v>
      </c>
      <c r="F122" s="3" t="s">
        <v>31</v>
      </c>
      <c r="G122" s="3" t="s">
        <v>264</v>
      </c>
    </row>
    <row r="123" customFormat="false" ht="23.25" hidden="false" customHeight="true" outlineLevel="0" collapsed="false">
      <c r="A123" s="3" t="n">
        <v>1922</v>
      </c>
      <c r="B123" s="3" t="s">
        <v>23</v>
      </c>
      <c r="C123" s="3" t="s">
        <v>23</v>
      </c>
      <c r="D123" s="3" t="s">
        <v>265</v>
      </c>
      <c r="E123" s="3" t="n">
        <v>7</v>
      </c>
      <c r="F123" s="3" t="s">
        <v>9</v>
      </c>
      <c r="G123" s="3" t="s">
        <v>266</v>
      </c>
    </row>
    <row r="124" customFormat="false" ht="23.25" hidden="false" customHeight="true" outlineLevel="0" collapsed="false">
      <c r="A124" s="3" t="n">
        <v>1922</v>
      </c>
      <c r="B124" s="3" t="s">
        <v>23</v>
      </c>
      <c r="C124" s="3" t="s">
        <v>23</v>
      </c>
      <c r="D124" s="3" t="s">
        <v>267</v>
      </c>
      <c r="E124" s="3" t="n">
        <v>2</v>
      </c>
      <c r="F124" s="3" t="s">
        <v>13</v>
      </c>
      <c r="G124" s="3" t="s">
        <v>14</v>
      </c>
    </row>
    <row r="125" customFormat="false" ht="23.25" hidden="false" customHeight="true" outlineLevel="0" collapsed="false">
      <c r="A125" s="3" t="n">
        <v>1922</v>
      </c>
      <c r="B125" s="3" t="s">
        <v>268</v>
      </c>
      <c r="C125" s="3" t="s">
        <v>268</v>
      </c>
      <c r="D125" s="3" t="s">
        <v>269</v>
      </c>
      <c r="E125" s="3" t="n">
        <v>2</v>
      </c>
      <c r="F125" s="3" t="s">
        <v>34</v>
      </c>
      <c r="G125" s="3" t="s">
        <v>270</v>
      </c>
    </row>
    <row r="126" customFormat="false" ht="23.25" hidden="false" customHeight="true" outlineLevel="0" collapsed="false">
      <c r="A126" s="3" t="n">
        <v>1923</v>
      </c>
      <c r="B126" s="3" t="s">
        <v>271</v>
      </c>
      <c r="C126" s="3" t="s">
        <v>271</v>
      </c>
      <c r="D126" s="3" t="s">
        <v>272</v>
      </c>
      <c r="E126" s="3" t="n">
        <v>2</v>
      </c>
      <c r="F126" s="3" t="s">
        <v>34</v>
      </c>
      <c r="G126" s="3" t="s">
        <v>270</v>
      </c>
    </row>
    <row r="127" customFormat="false" ht="23.25" hidden="false" customHeight="true" outlineLevel="0" collapsed="false">
      <c r="A127" s="3" t="n">
        <v>1923</v>
      </c>
      <c r="B127" s="3" t="s">
        <v>271</v>
      </c>
      <c r="C127" s="3" t="s">
        <v>271</v>
      </c>
      <c r="D127" s="3" t="s">
        <v>272</v>
      </c>
      <c r="E127" s="3" t="n">
        <v>1</v>
      </c>
      <c r="F127" s="3" t="s">
        <v>34</v>
      </c>
      <c r="G127" s="3" t="s">
        <v>273</v>
      </c>
    </row>
    <row r="128" customFormat="false" ht="34.5" hidden="false" customHeight="true" outlineLevel="0" collapsed="false">
      <c r="A128" s="3" t="n">
        <v>1923</v>
      </c>
      <c r="B128" s="3" t="s">
        <v>271</v>
      </c>
      <c r="C128" s="3" t="s">
        <v>271</v>
      </c>
      <c r="D128" s="3" t="s">
        <v>272</v>
      </c>
      <c r="E128" s="3" t="n">
        <v>3</v>
      </c>
      <c r="F128" s="3" t="s">
        <v>34</v>
      </c>
      <c r="G128" s="3" t="s">
        <v>274</v>
      </c>
    </row>
    <row r="129" customFormat="false" ht="23.25" hidden="false" customHeight="true" outlineLevel="0" collapsed="false">
      <c r="A129" s="3" t="n">
        <v>1923</v>
      </c>
      <c r="B129" s="3" t="s">
        <v>275</v>
      </c>
      <c r="C129" s="3" t="s">
        <v>275</v>
      </c>
      <c r="D129" s="3" t="s">
        <v>276</v>
      </c>
      <c r="E129" s="3" t="n">
        <v>4</v>
      </c>
      <c r="F129" s="3" t="s">
        <v>9</v>
      </c>
      <c r="G129" s="3" t="s">
        <v>277</v>
      </c>
    </row>
    <row r="130" customFormat="false" ht="23.25" hidden="false" customHeight="true" outlineLevel="0" collapsed="false">
      <c r="A130" s="3" t="n">
        <v>1923</v>
      </c>
      <c r="B130" s="3" t="s">
        <v>278</v>
      </c>
      <c r="C130" s="3" t="s">
        <v>278</v>
      </c>
      <c r="D130" s="3" t="s">
        <v>276</v>
      </c>
      <c r="E130" s="3" t="n">
        <v>13</v>
      </c>
      <c r="F130" s="3" t="s">
        <v>9</v>
      </c>
      <c r="G130" s="3" t="s">
        <v>279</v>
      </c>
    </row>
    <row r="131" customFormat="false" ht="34.5" hidden="false" customHeight="true" outlineLevel="0" collapsed="false">
      <c r="A131" s="3" t="n">
        <v>1923</v>
      </c>
      <c r="B131" s="3" t="s">
        <v>278</v>
      </c>
      <c r="C131" s="3" t="s">
        <v>278</v>
      </c>
      <c r="D131" s="3" t="s">
        <v>276</v>
      </c>
      <c r="E131" s="3" t="n">
        <v>3</v>
      </c>
      <c r="F131" s="3" t="s">
        <v>34</v>
      </c>
      <c r="G131" s="3" t="s">
        <v>280</v>
      </c>
    </row>
    <row r="132" customFormat="false" ht="23.25" hidden="false" customHeight="true" outlineLevel="0" collapsed="false">
      <c r="A132" s="3" t="n">
        <v>1923</v>
      </c>
      <c r="B132" s="3" t="s">
        <v>278</v>
      </c>
      <c r="C132" s="3" t="s">
        <v>278</v>
      </c>
      <c r="D132" s="3" t="s">
        <v>276</v>
      </c>
      <c r="E132" s="3" t="n">
        <v>7</v>
      </c>
      <c r="F132" s="3" t="s">
        <v>34</v>
      </c>
      <c r="G132" s="3" t="s">
        <v>281</v>
      </c>
    </row>
    <row r="133" customFormat="false" ht="23.25" hidden="false" customHeight="true" outlineLevel="0" collapsed="false">
      <c r="A133" s="3" t="n">
        <v>1923</v>
      </c>
      <c r="B133" s="3" t="s">
        <v>278</v>
      </c>
      <c r="C133" s="3" t="s">
        <v>278</v>
      </c>
      <c r="D133" s="3" t="s">
        <v>276</v>
      </c>
      <c r="E133" s="3" t="n">
        <v>7</v>
      </c>
      <c r="F133" s="3" t="s">
        <v>34</v>
      </c>
      <c r="G133" s="3" t="s">
        <v>281</v>
      </c>
    </row>
    <row r="134" customFormat="false" ht="23.25" hidden="false" customHeight="true" outlineLevel="0" collapsed="false">
      <c r="A134" s="3" t="n">
        <v>1923</v>
      </c>
      <c r="B134" s="3" t="s">
        <v>278</v>
      </c>
      <c r="C134" s="3" t="s">
        <v>278</v>
      </c>
      <c r="D134" s="3" t="s">
        <v>276</v>
      </c>
      <c r="E134" s="3" t="n">
        <v>4</v>
      </c>
      <c r="F134" s="3" t="s">
        <v>13</v>
      </c>
      <c r="G134" s="3" t="s">
        <v>14</v>
      </c>
    </row>
    <row r="135" customFormat="false" ht="23.25" hidden="false" customHeight="true" outlineLevel="0" collapsed="false">
      <c r="A135" s="3" t="n">
        <v>1923</v>
      </c>
      <c r="B135" s="3" t="s">
        <v>23</v>
      </c>
      <c r="C135" s="3" t="s">
        <v>23</v>
      </c>
      <c r="D135" s="3" t="s">
        <v>282</v>
      </c>
      <c r="E135" s="3" t="n">
        <v>7</v>
      </c>
      <c r="F135" s="3" t="s">
        <v>34</v>
      </c>
      <c r="G135" s="3" t="s">
        <v>281</v>
      </c>
    </row>
    <row r="136" customFormat="false" ht="34.5" hidden="false" customHeight="true" outlineLevel="0" collapsed="false">
      <c r="A136" s="3" t="n">
        <v>1923</v>
      </c>
      <c r="B136" s="3" t="s">
        <v>102</v>
      </c>
      <c r="C136" s="3" t="s">
        <v>102</v>
      </c>
      <c r="D136" s="3" t="s">
        <v>283</v>
      </c>
      <c r="E136" s="3" t="n">
        <v>21</v>
      </c>
      <c r="F136" s="3" t="s">
        <v>9</v>
      </c>
      <c r="G136" s="3" t="s">
        <v>284</v>
      </c>
    </row>
    <row r="137" customFormat="false" ht="34.5" hidden="false" customHeight="true" outlineLevel="0" collapsed="false">
      <c r="A137" s="3" t="n">
        <v>1923</v>
      </c>
      <c r="B137" s="3" t="s">
        <v>102</v>
      </c>
      <c r="C137" s="3" t="s">
        <v>102</v>
      </c>
      <c r="D137" s="3" t="s">
        <v>283</v>
      </c>
      <c r="E137" s="3" t="n">
        <v>12</v>
      </c>
      <c r="F137" s="3" t="s">
        <v>9</v>
      </c>
      <c r="G137" s="3" t="s">
        <v>285</v>
      </c>
    </row>
    <row r="138" customFormat="false" ht="34.5" hidden="false" customHeight="true" outlineLevel="0" collapsed="false">
      <c r="A138" s="3" t="n">
        <v>1923</v>
      </c>
      <c r="B138" s="3" t="s">
        <v>286</v>
      </c>
      <c r="C138" s="3" t="s">
        <v>286</v>
      </c>
      <c r="D138" s="3" t="s">
        <v>287</v>
      </c>
      <c r="E138" s="3" t="n">
        <v>5</v>
      </c>
      <c r="F138" s="3" t="s">
        <v>34</v>
      </c>
      <c r="G138" s="3" t="s">
        <v>288</v>
      </c>
    </row>
    <row r="139" customFormat="false" ht="23.25" hidden="false" customHeight="true" outlineLevel="0" collapsed="false">
      <c r="A139" s="3" t="n">
        <v>1923</v>
      </c>
      <c r="B139" s="3" t="s">
        <v>286</v>
      </c>
      <c r="C139" s="3" t="s">
        <v>289</v>
      </c>
      <c r="D139" s="3" t="s">
        <v>290</v>
      </c>
      <c r="E139" s="3" t="n">
        <v>4</v>
      </c>
      <c r="F139" s="3" t="s">
        <v>9</v>
      </c>
      <c r="G139" s="3" t="s">
        <v>291</v>
      </c>
    </row>
    <row r="140" customFormat="false" ht="23.25" hidden="false" customHeight="true" outlineLevel="0" collapsed="false">
      <c r="A140" s="3" t="n">
        <v>1924</v>
      </c>
      <c r="B140" s="3" t="s">
        <v>190</v>
      </c>
      <c r="C140" s="3" t="s">
        <v>190</v>
      </c>
      <c r="D140" s="3" t="s">
        <v>246</v>
      </c>
      <c r="E140" s="3" t="n">
        <v>16</v>
      </c>
      <c r="F140" s="3" t="s">
        <v>13</v>
      </c>
      <c r="G140" s="3" t="s">
        <v>14</v>
      </c>
    </row>
    <row r="141" customFormat="false" ht="23.25" hidden="false" customHeight="true" outlineLevel="0" collapsed="false">
      <c r="A141" s="3" t="n">
        <v>1924</v>
      </c>
      <c r="B141" s="3" t="s">
        <v>190</v>
      </c>
      <c r="C141" s="3" t="s">
        <v>292</v>
      </c>
      <c r="D141" s="3" t="s">
        <v>293</v>
      </c>
      <c r="E141" s="3" t="n">
        <v>5</v>
      </c>
      <c r="F141" s="3" t="s">
        <v>9</v>
      </c>
      <c r="G141" s="3" t="s">
        <v>294</v>
      </c>
    </row>
    <row r="142" customFormat="false" ht="23.25" hidden="false" customHeight="true" outlineLevel="0" collapsed="false">
      <c r="A142" s="3" t="n">
        <v>1924</v>
      </c>
      <c r="B142" s="3" t="s">
        <v>190</v>
      </c>
      <c r="C142" s="3" t="s">
        <v>292</v>
      </c>
      <c r="D142" s="3" t="s">
        <v>295</v>
      </c>
      <c r="E142" s="3" t="n">
        <v>7</v>
      </c>
      <c r="F142" s="3" t="s">
        <v>31</v>
      </c>
      <c r="G142" s="3" t="s">
        <v>296</v>
      </c>
    </row>
    <row r="143" customFormat="false" ht="23.25" hidden="false" customHeight="true" outlineLevel="0" collapsed="false">
      <c r="A143" s="3" t="n">
        <v>1924</v>
      </c>
      <c r="B143" s="3" t="s">
        <v>297</v>
      </c>
      <c r="C143" s="3" t="s">
        <v>297</v>
      </c>
      <c r="D143" s="3" t="s">
        <v>298</v>
      </c>
      <c r="E143" s="3" t="n">
        <v>1</v>
      </c>
      <c r="F143" s="3" t="s">
        <v>34</v>
      </c>
      <c r="G143" s="3" t="s">
        <v>273</v>
      </c>
    </row>
    <row r="144" customFormat="false" ht="23.25" hidden="false" customHeight="true" outlineLevel="0" collapsed="false">
      <c r="A144" s="3" t="n">
        <v>1924</v>
      </c>
      <c r="B144" s="3" t="s">
        <v>278</v>
      </c>
      <c r="C144" s="3" t="s">
        <v>278</v>
      </c>
      <c r="D144" s="3" t="s">
        <v>299</v>
      </c>
      <c r="E144" s="3" t="n">
        <v>0</v>
      </c>
      <c r="F144" s="3" t="s">
        <v>178</v>
      </c>
      <c r="G144" s="3" t="s">
        <v>179</v>
      </c>
    </row>
    <row r="145" customFormat="false" ht="23.25" hidden="false" customHeight="true" outlineLevel="0" collapsed="false">
      <c r="A145" s="3" t="n">
        <v>1924</v>
      </c>
      <c r="B145" s="3" t="s">
        <v>300</v>
      </c>
      <c r="C145" s="3" t="s">
        <v>301</v>
      </c>
      <c r="D145" s="3" t="s">
        <v>302</v>
      </c>
      <c r="E145" s="3" t="n">
        <v>8</v>
      </c>
      <c r="F145" s="3" t="s">
        <v>9</v>
      </c>
      <c r="G145" s="3" t="s">
        <v>303</v>
      </c>
    </row>
    <row r="146" customFormat="false" ht="34.5" hidden="false" customHeight="true" outlineLevel="0" collapsed="false">
      <c r="A146" s="3" t="n">
        <v>1924</v>
      </c>
      <c r="B146" s="3" t="s">
        <v>23</v>
      </c>
      <c r="C146" s="3" t="s">
        <v>53</v>
      </c>
      <c r="D146" s="3" t="s">
        <v>304</v>
      </c>
      <c r="E146" s="3" t="n">
        <v>1</v>
      </c>
      <c r="F146" s="3" t="s">
        <v>13</v>
      </c>
      <c r="G146" s="3" t="s">
        <v>14</v>
      </c>
    </row>
    <row r="147" customFormat="false" ht="34.5" hidden="false" customHeight="true" outlineLevel="0" collapsed="false">
      <c r="A147" s="3" t="n">
        <v>1924</v>
      </c>
      <c r="B147" s="3" t="s">
        <v>23</v>
      </c>
      <c r="C147" s="3" t="s">
        <v>23</v>
      </c>
      <c r="D147" s="3" t="s">
        <v>305</v>
      </c>
      <c r="E147" s="3" t="n">
        <v>6</v>
      </c>
      <c r="F147" s="3" t="s">
        <v>9</v>
      </c>
      <c r="G147" s="3" t="s">
        <v>306</v>
      </c>
    </row>
    <row r="148" customFormat="false" ht="34.5" hidden="false" customHeight="true" outlineLevel="0" collapsed="false">
      <c r="A148" s="3" t="n">
        <v>1924</v>
      </c>
      <c r="B148" s="3" t="s">
        <v>23</v>
      </c>
      <c r="C148" s="3" t="s">
        <v>53</v>
      </c>
      <c r="D148" s="3" t="s">
        <v>307</v>
      </c>
      <c r="E148" s="3" t="n">
        <v>11</v>
      </c>
      <c r="F148" s="3" t="s">
        <v>9</v>
      </c>
      <c r="G148" s="3" t="s">
        <v>308</v>
      </c>
    </row>
    <row r="149" customFormat="false" ht="34.5" hidden="false" customHeight="true" outlineLevel="0" collapsed="false">
      <c r="A149" s="3" t="n">
        <v>1924</v>
      </c>
      <c r="B149" s="3" t="s">
        <v>23</v>
      </c>
      <c r="C149" s="3" t="s">
        <v>309</v>
      </c>
      <c r="D149" s="3" t="s">
        <v>310</v>
      </c>
      <c r="E149" s="3" t="n">
        <v>0</v>
      </c>
      <c r="F149" s="3" t="s">
        <v>178</v>
      </c>
      <c r="G149" s="3" t="s">
        <v>179</v>
      </c>
    </row>
    <row r="150" customFormat="false" ht="23.25" hidden="false" customHeight="true" outlineLevel="0" collapsed="false">
      <c r="A150" s="3" t="n">
        <v>1924</v>
      </c>
      <c r="B150" s="3" t="s">
        <v>102</v>
      </c>
      <c r="C150" s="3" t="s">
        <v>102</v>
      </c>
      <c r="D150" s="3" t="s">
        <v>311</v>
      </c>
      <c r="E150" s="3" t="n">
        <v>42</v>
      </c>
      <c r="F150" s="3" t="s">
        <v>9</v>
      </c>
      <c r="G150" s="3" t="s">
        <v>312</v>
      </c>
    </row>
    <row r="151" customFormat="false" ht="34.5" hidden="false" customHeight="true" outlineLevel="0" collapsed="false">
      <c r="A151" s="3" t="n">
        <v>1924</v>
      </c>
      <c r="B151" s="3" t="s">
        <v>102</v>
      </c>
      <c r="C151" s="3" t="s">
        <v>313</v>
      </c>
      <c r="D151" s="3" t="s">
        <v>314</v>
      </c>
      <c r="E151" s="3" t="n">
        <v>20</v>
      </c>
      <c r="F151" s="3" t="s">
        <v>9</v>
      </c>
      <c r="G151" s="3" t="s">
        <v>315</v>
      </c>
    </row>
    <row r="152" customFormat="false" ht="23.25" hidden="false" customHeight="true" outlineLevel="0" collapsed="false">
      <c r="A152" s="3" t="n">
        <v>1925</v>
      </c>
      <c r="B152" s="3" t="s">
        <v>316</v>
      </c>
      <c r="C152" s="3" t="s">
        <v>316</v>
      </c>
      <c r="D152" s="3" t="s">
        <v>317</v>
      </c>
      <c r="E152" s="3" t="n">
        <v>32</v>
      </c>
      <c r="F152" s="3" t="s">
        <v>9</v>
      </c>
      <c r="G152" s="3" t="s">
        <v>318</v>
      </c>
    </row>
    <row r="153" customFormat="false" ht="23.25" hidden="false" customHeight="true" outlineLevel="0" collapsed="false">
      <c r="A153" s="3" t="n">
        <v>1925</v>
      </c>
      <c r="B153" s="3" t="s">
        <v>190</v>
      </c>
      <c r="C153" s="3" t="s">
        <v>319</v>
      </c>
      <c r="D153" s="3" t="s">
        <v>320</v>
      </c>
      <c r="E153" s="3" t="n">
        <v>5</v>
      </c>
      <c r="F153" s="3" t="s">
        <v>34</v>
      </c>
      <c r="G153" s="3" t="s">
        <v>321</v>
      </c>
    </row>
    <row r="154" customFormat="false" ht="23.25" hidden="false" customHeight="true" outlineLevel="0" collapsed="false">
      <c r="A154" s="3" t="n">
        <v>1925</v>
      </c>
      <c r="B154" s="3" t="s">
        <v>322</v>
      </c>
      <c r="C154" s="3" t="s">
        <v>322</v>
      </c>
      <c r="D154" s="3" t="s">
        <v>323</v>
      </c>
      <c r="E154" s="3" t="n">
        <v>16</v>
      </c>
      <c r="F154" s="3" t="s">
        <v>31</v>
      </c>
      <c r="G154" s="3" t="s">
        <v>324</v>
      </c>
    </row>
    <row r="155" customFormat="false" ht="23.25" hidden="false" customHeight="true" outlineLevel="0" collapsed="false">
      <c r="A155" s="3" t="n">
        <v>1925</v>
      </c>
      <c r="B155" s="3" t="s">
        <v>23</v>
      </c>
      <c r="C155" s="3" t="s">
        <v>53</v>
      </c>
      <c r="D155" s="3" t="s">
        <v>325</v>
      </c>
      <c r="E155" s="3" t="n">
        <v>6</v>
      </c>
      <c r="F155" s="3" t="s">
        <v>9</v>
      </c>
      <c r="G155" s="3" t="s">
        <v>326</v>
      </c>
    </row>
    <row r="156" customFormat="false" ht="34.5" hidden="false" customHeight="true" outlineLevel="0" collapsed="false">
      <c r="A156" s="3" t="n">
        <v>1925</v>
      </c>
      <c r="B156" s="3" t="s">
        <v>23</v>
      </c>
      <c r="C156" s="3" t="s">
        <v>53</v>
      </c>
      <c r="D156" s="3" t="s">
        <v>327</v>
      </c>
      <c r="E156" s="3" t="n">
        <v>1</v>
      </c>
      <c r="F156" s="3" t="s">
        <v>9</v>
      </c>
      <c r="G156" s="3" t="s">
        <v>328</v>
      </c>
    </row>
    <row r="157" customFormat="false" ht="23.25" hidden="false" customHeight="true" outlineLevel="0" collapsed="false">
      <c r="A157" s="3" t="n">
        <v>1925</v>
      </c>
      <c r="B157" s="3" t="s">
        <v>23</v>
      </c>
      <c r="C157" s="3" t="s">
        <v>23</v>
      </c>
      <c r="D157" s="3" t="s">
        <v>329</v>
      </c>
      <c r="E157" s="3" t="n">
        <v>2</v>
      </c>
      <c r="F157" s="3" t="s">
        <v>13</v>
      </c>
      <c r="G157" s="3" t="s">
        <v>14</v>
      </c>
    </row>
    <row r="158" customFormat="false" ht="34.5" hidden="false" customHeight="true" outlineLevel="0" collapsed="false">
      <c r="A158" s="3" t="n">
        <v>1925</v>
      </c>
      <c r="B158" s="3" t="s">
        <v>23</v>
      </c>
      <c r="C158" s="3" t="s">
        <v>23</v>
      </c>
      <c r="D158" s="3" t="s">
        <v>330</v>
      </c>
      <c r="E158" s="3" t="n">
        <v>1</v>
      </c>
      <c r="F158" s="3" t="s">
        <v>9</v>
      </c>
      <c r="G158" s="3" t="s">
        <v>331</v>
      </c>
    </row>
    <row r="159" customFormat="false" ht="34.5" hidden="false" customHeight="true" outlineLevel="0" collapsed="false">
      <c r="A159" s="3" t="n">
        <v>1925</v>
      </c>
      <c r="B159" s="3" t="s">
        <v>23</v>
      </c>
      <c r="C159" s="3" t="s">
        <v>23</v>
      </c>
      <c r="D159" s="3" t="s">
        <v>305</v>
      </c>
      <c r="E159" s="3" t="n">
        <v>10</v>
      </c>
      <c r="F159" s="3" t="s">
        <v>34</v>
      </c>
      <c r="G159" s="3" t="s">
        <v>332</v>
      </c>
    </row>
    <row r="160" customFormat="false" ht="23.25" hidden="false" customHeight="true" outlineLevel="0" collapsed="false">
      <c r="A160" s="3" t="n">
        <v>1925</v>
      </c>
      <c r="B160" s="3" t="s">
        <v>333</v>
      </c>
      <c r="C160" s="3" t="s">
        <v>334</v>
      </c>
      <c r="D160" s="3" t="s">
        <v>335</v>
      </c>
      <c r="E160" s="3" t="n">
        <v>7</v>
      </c>
      <c r="F160" s="3" t="s">
        <v>34</v>
      </c>
      <c r="G160" s="3" t="s">
        <v>321</v>
      </c>
    </row>
    <row r="161" customFormat="false" ht="23.25" hidden="false" customHeight="true" outlineLevel="0" collapsed="false">
      <c r="A161" s="3" t="n">
        <v>1925</v>
      </c>
      <c r="B161" s="3" t="s">
        <v>336</v>
      </c>
      <c r="C161" s="3" t="s">
        <v>336</v>
      </c>
      <c r="D161" s="3" t="s">
        <v>337</v>
      </c>
      <c r="E161" s="3" t="n">
        <v>5</v>
      </c>
      <c r="F161" s="3" t="s">
        <v>31</v>
      </c>
      <c r="G161" s="3" t="s">
        <v>338</v>
      </c>
    </row>
    <row r="162" customFormat="false" ht="23.25" hidden="false" customHeight="true" outlineLevel="0" collapsed="false">
      <c r="A162" s="3" t="n">
        <v>1925</v>
      </c>
      <c r="B162" s="3" t="s">
        <v>102</v>
      </c>
      <c r="C162" s="3" t="s">
        <v>313</v>
      </c>
      <c r="D162" s="3" t="s">
        <v>339</v>
      </c>
      <c r="E162" s="3" t="n">
        <v>24</v>
      </c>
      <c r="F162" s="3" t="s">
        <v>9</v>
      </c>
      <c r="G162" s="3" t="s">
        <v>340</v>
      </c>
    </row>
    <row r="163" customFormat="false" ht="23.25" hidden="false" customHeight="true" outlineLevel="0" collapsed="false">
      <c r="A163" s="3" t="n">
        <v>1925</v>
      </c>
      <c r="B163" s="3" t="s">
        <v>102</v>
      </c>
      <c r="C163" s="3" t="s">
        <v>102</v>
      </c>
      <c r="D163" s="3" t="s">
        <v>341</v>
      </c>
      <c r="E163" s="3" t="n">
        <v>54</v>
      </c>
      <c r="F163" s="3" t="s">
        <v>9</v>
      </c>
      <c r="G163" s="3" t="s">
        <v>342</v>
      </c>
    </row>
    <row r="164" customFormat="false" ht="34.5" hidden="false" customHeight="true" outlineLevel="0" collapsed="false">
      <c r="A164" s="3" t="n">
        <v>1925</v>
      </c>
      <c r="B164" s="3" t="s">
        <v>102</v>
      </c>
      <c r="C164" s="3" t="s">
        <v>313</v>
      </c>
      <c r="D164" s="3" t="s">
        <v>343</v>
      </c>
      <c r="E164" s="3" t="n">
        <v>9</v>
      </c>
      <c r="F164" s="3" t="s">
        <v>34</v>
      </c>
      <c r="G164" s="3" t="s">
        <v>344</v>
      </c>
    </row>
    <row r="165" customFormat="false" ht="23.25" hidden="false" customHeight="true" outlineLevel="0" collapsed="false">
      <c r="A165" s="3" t="n">
        <v>1925</v>
      </c>
      <c r="B165" s="3" t="s">
        <v>102</v>
      </c>
      <c r="C165" s="3" t="s">
        <v>102</v>
      </c>
      <c r="D165" s="3" t="s">
        <v>345</v>
      </c>
      <c r="E165" s="3" t="n">
        <v>5</v>
      </c>
      <c r="F165" s="3" t="s">
        <v>34</v>
      </c>
      <c r="G165" s="3" t="s">
        <v>346</v>
      </c>
    </row>
    <row r="166" customFormat="false" ht="23.25" hidden="false" customHeight="true" outlineLevel="0" collapsed="false">
      <c r="A166" s="3" t="n">
        <v>1926</v>
      </c>
      <c r="B166" s="3" t="s">
        <v>102</v>
      </c>
      <c r="C166" s="3" t="s">
        <v>102</v>
      </c>
      <c r="D166" s="3" t="s">
        <v>347</v>
      </c>
      <c r="E166" s="3" t="n">
        <v>34</v>
      </c>
      <c r="F166" s="3" t="s">
        <v>13</v>
      </c>
      <c r="G166" s="3" t="s">
        <v>14</v>
      </c>
    </row>
    <row r="167" customFormat="false" ht="34.5" hidden="false" customHeight="true" outlineLevel="0" collapsed="false">
      <c r="A167" s="3" t="n">
        <v>1927</v>
      </c>
      <c r="B167" s="3" t="s">
        <v>102</v>
      </c>
      <c r="C167" s="3" t="s">
        <v>102</v>
      </c>
      <c r="D167" s="3" t="s">
        <v>348</v>
      </c>
      <c r="E167" s="3" t="n">
        <v>16</v>
      </c>
      <c r="F167" s="3" t="s">
        <v>34</v>
      </c>
      <c r="G167" s="3" t="s">
        <v>349</v>
      </c>
    </row>
    <row r="168" customFormat="false" ht="34.5" hidden="false" customHeight="true" outlineLevel="0" collapsed="false">
      <c r="A168" s="3" t="n">
        <v>1927</v>
      </c>
      <c r="B168" s="3" t="s">
        <v>102</v>
      </c>
      <c r="C168" s="3" t="s">
        <v>102</v>
      </c>
      <c r="D168" s="3" t="s">
        <v>350</v>
      </c>
      <c r="E168" s="3" t="n">
        <v>30</v>
      </c>
      <c r="F168" s="3" t="s">
        <v>34</v>
      </c>
      <c r="G168" s="3" t="s">
        <v>351</v>
      </c>
    </row>
    <row r="169" customFormat="false" ht="23.25" hidden="false" customHeight="true" outlineLevel="0" collapsed="false">
      <c r="A169" s="3" t="n">
        <v>1930</v>
      </c>
      <c r="B169" s="3" t="s">
        <v>352</v>
      </c>
      <c r="C169" s="3" t="s">
        <v>353</v>
      </c>
      <c r="D169" s="3" t="s">
        <v>354</v>
      </c>
      <c r="E169" s="3" t="n">
        <v>3</v>
      </c>
      <c r="F169" s="3" t="s">
        <v>31</v>
      </c>
      <c r="G169" s="3" t="s">
        <v>355</v>
      </c>
    </row>
    <row r="170" customFormat="false" ht="34.5" hidden="false" customHeight="true" outlineLevel="0" collapsed="false">
      <c r="A170" s="3" t="n">
        <v>1930</v>
      </c>
      <c r="B170" s="3" t="s">
        <v>190</v>
      </c>
      <c r="C170" s="3" t="s">
        <v>356</v>
      </c>
      <c r="D170" s="3" t="s">
        <v>357</v>
      </c>
      <c r="E170" s="3" t="n">
        <v>5</v>
      </c>
      <c r="F170" s="3" t="s">
        <v>9</v>
      </c>
      <c r="G170" s="3" t="s">
        <v>358</v>
      </c>
    </row>
    <row r="171" customFormat="false" ht="23.25" hidden="false" customHeight="true" outlineLevel="0" collapsed="false">
      <c r="A171" s="3" t="n">
        <v>1930</v>
      </c>
      <c r="B171" s="3" t="s">
        <v>359</v>
      </c>
      <c r="C171" s="3" t="s">
        <v>359</v>
      </c>
      <c r="D171" s="3" t="s">
        <v>360</v>
      </c>
      <c r="E171" s="3" t="n">
        <v>2</v>
      </c>
      <c r="F171" s="3" t="s">
        <v>31</v>
      </c>
      <c r="G171" s="3" t="s">
        <v>355</v>
      </c>
    </row>
    <row r="172" customFormat="false" ht="23.25" hidden="false" customHeight="true" outlineLevel="0" collapsed="false">
      <c r="A172" s="3" t="n">
        <v>1930</v>
      </c>
      <c r="B172" s="3" t="s">
        <v>23</v>
      </c>
      <c r="C172" s="3" t="s">
        <v>361</v>
      </c>
      <c r="D172" s="3" t="s">
        <v>362</v>
      </c>
      <c r="E172" s="3" t="n">
        <v>5</v>
      </c>
      <c r="F172" s="3" t="s">
        <v>31</v>
      </c>
      <c r="G172" s="3" t="s">
        <v>363</v>
      </c>
    </row>
    <row r="173" customFormat="false" ht="23.25" hidden="false" customHeight="true" outlineLevel="0" collapsed="false">
      <c r="A173" s="3" t="n">
        <v>1930</v>
      </c>
      <c r="B173" s="3" t="s">
        <v>23</v>
      </c>
      <c r="C173" s="3" t="s">
        <v>23</v>
      </c>
      <c r="D173" s="3" t="s">
        <v>364</v>
      </c>
      <c r="E173" s="3" t="n">
        <v>7</v>
      </c>
      <c r="F173" s="3" t="s">
        <v>13</v>
      </c>
      <c r="G173" s="3" t="s">
        <v>14</v>
      </c>
    </row>
    <row r="174" customFormat="false" ht="45.75" hidden="false" customHeight="true" outlineLevel="0" collapsed="false">
      <c r="A174" s="3" t="n">
        <v>1930</v>
      </c>
      <c r="B174" s="3" t="s">
        <v>23</v>
      </c>
      <c r="C174" s="3" t="s">
        <v>365</v>
      </c>
      <c r="D174" s="3" t="s">
        <v>366</v>
      </c>
      <c r="E174" s="3" t="n">
        <v>1</v>
      </c>
      <c r="F174" s="3" t="s">
        <v>34</v>
      </c>
      <c r="G174" s="3" t="s">
        <v>367</v>
      </c>
    </row>
    <row r="175" customFormat="false" ht="34.5" hidden="false" customHeight="true" outlineLevel="0" collapsed="false">
      <c r="A175" s="3" t="n">
        <v>1930</v>
      </c>
      <c r="B175" s="3" t="s">
        <v>368</v>
      </c>
      <c r="C175" s="3" t="s">
        <v>368</v>
      </c>
      <c r="D175" s="3" t="s">
        <v>369</v>
      </c>
      <c r="E175" s="3" t="n">
        <v>1</v>
      </c>
      <c r="F175" s="3" t="s">
        <v>9</v>
      </c>
      <c r="G175" s="3" t="s">
        <v>370</v>
      </c>
    </row>
    <row r="176" customFormat="false" ht="23.25" hidden="false" customHeight="true" outlineLevel="0" collapsed="false">
      <c r="A176" s="3" t="n">
        <v>1930</v>
      </c>
      <c r="B176" s="3" t="s">
        <v>102</v>
      </c>
      <c r="C176" s="3" t="s">
        <v>102</v>
      </c>
      <c r="D176" s="3" t="s">
        <v>371</v>
      </c>
      <c r="E176" s="3" t="n">
        <v>13</v>
      </c>
      <c r="F176" s="3" t="s">
        <v>9</v>
      </c>
      <c r="G176" s="3" t="s">
        <v>372</v>
      </c>
    </row>
  </sheetData>
  <autoFilter ref="A1:G1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2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4"/>
  </cols>
  <sheetData>
    <row r="1" customFormat="false" ht="15" hidden="false" customHeight="true" outlineLevel="0" collapsed="false">
      <c r="A1" s="4" t="s">
        <v>373</v>
      </c>
    </row>
    <row r="3" customFormat="false" ht="26.25" hidden="false" customHeight="true" outlineLevel="0" collapsed="false">
      <c r="A3" s="2" t="s">
        <v>374</v>
      </c>
      <c r="B3" s="2" t="s">
        <v>375</v>
      </c>
      <c r="C3" s="2" t="s">
        <v>376</v>
      </c>
      <c r="D3" s="2" t="s">
        <v>377</v>
      </c>
      <c r="E3" s="2" t="s">
        <v>378</v>
      </c>
      <c r="F3" s="2" t="s">
        <v>379</v>
      </c>
      <c r="G3" s="2" t="s">
        <v>380</v>
      </c>
    </row>
    <row r="4" customFormat="false" ht="15" hidden="false" customHeight="true" outlineLevel="0" collapsed="false">
      <c r="A4" s="5" t="s">
        <v>31</v>
      </c>
      <c r="B4" s="5" t="s">
        <v>381</v>
      </c>
      <c r="C4" s="6" t="n">
        <v>22</v>
      </c>
      <c r="D4" s="7" t="n">
        <f aca="false">C4/$C$9</f>
        <v>0.125714285714286</v>
      </c>
      <c r="E4" s="6" t="n">
        <v>12.3</v>
      </c>
      <c r="F4" s="6" t="n">
        <v>8.5</v>
      </c>
      <c r="G4" s="6" t="n">
        <v>59</v>
      </c>
    </row>
    <row r="5" customFormat="false" ht="15" hidden="false" customHeight="true" outlineLevel="0" collapsed="false">
      <c r="A5" s="5" t="s">
        <v>9</v>
      </c>
      <c r="B5" s="5" t="s">
        <v>382</v>
      </c>
      <c r="C5" s="6" t="n">
        <v>70</v>
      </c>
      <c r="D5" s="7" t="n">
        <f aca="false">C5/$C$9</f>
        <v>0.4</v>
      </c>
      <c r="E5" s="6" t="n">
        <v>14</v>
      </c>
      <c r="F5" s="6" t="n">
        <v>10</v>
      </c>
      <c r="G5" s="6" t="n">
        <v>54</v>
      </c>
    </row>
    <row r="6" customFormat="false" ht="15" hidden="false" customHeight="true" outlineLevel="0" collapsed="false">
      <c r="A6" s="5" t="s">
        <v>34</v>
      </c>
      <c r="B6" s="5" t="s">
        <v>383</v>
      </c>
      <c r="C6" s="6" t="n">
        <v>37</v>
      </c>
      <c r="D6" s="7" t="n">
        <f aca="false">C6/$C$9</f>
        <v>0.211428571428571</v>
      </c>
      <c r="E6" s="6" t="n">
        <v>11.4</v>
      </c>
      <c r="F6" s="6" t="n">
        <v>7</v>
      </c>
      <c r="G6" s="6" t="n">
        <v>65</v>
      </c>
    </row>
    <row r="7" customFormat="false" ht="15" hidden="false" customHeight="true" outlineLevel="0" collapsed="false">
      <c r="A7" s="5" t="s">
        <v>13</v>
      </c>
      <c r="B7" s="5" t="s">
        <v>384</v>
      </c>
      <c r="C7" s="6" t="n">
        <v>41</v>
      </c>
      <c r="D7" s="7" t="n">
        <f aca="false">C7/$C$9</f>
        <v>0.234285714285714</v>
      </c>
      <c r="E7" s="6" t="n">
        <v>10.3</v>
      </c>
      <c r="F7" s="6" t="n">
        <v>7</v>
      </c>
      <c r="G7" s="6" t="n">
        <v>34</v>
      </c>
    </row>
    <row r="8" customFormat="false" ht="15" hidden="false" customHeight="true" outlineLevel="0" collapsed="false">
      <c r="A8" s="5" t="s">
        <v>178</v>
      </c>
      <c r="B8" s="5" t="s">
        <v>385</v>
      </c>
      <c r="C8" s="6" t="n">
        <v>5</v>
      </c>
      <c r="D8" s="7" t="n">
        <f aca="false">C8/$C$9</f>
        <v>0.0285714285714286</v>
      </c>
      <c r="E8" s="6" t="n">
        <v>0</v>
      </c>
      <c r="F8" s="6" t="n">
        <v>0</v>
      </c>
      <c r="G8" s="6" t="n">
        <v>0</v>
      </c>
    </row>
    <row r="9" customFormat="false" ht="15" hidden="false" customHeight="true" outlineLevel="0" collapsed="false">
      <c r="A9" s="8" t="s">
        <v>386</v>
      </c>
      <c r="B9" s="5"/>
      <c r="C9" s="6" t="n">
        <f aca="false">SUM(C4:C8)</f>
        <v>175</v>
      </c>
      <c r="D9" s="5"/>
      <c r="E9" s="6" t="n">
        <f aca="false">ROUND(AVERAGE(Data!E2:E176),1)</f>
        <v>12</v>
      </c>
      <c r="F9" s="6"/>
      <c r="G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6"/>
  </cols>
  <sheetData>
    <row r="1" customFormat="false" ht="15" hidden="false" customHeight="true" outlineLevel="0" collapsed="false">
      <c r="A1" s="4" t="s">
        <v>387</v>
      </c>
    </row>
    <row r="3" customFormat="false" ht="15" hidden="false" customHeight="true" outlineLevel="0" collapsed="false">
      <c r="A3" s="2" t="s">
        <v>388</v>
      </c>
      <c r="B3" s="2" t="s">
        <v>389</v>
      </c>
      <c r="C3" s="2" t="s">
        <v>378</v>
      </c>
    </row>
    <row r="4" customFormat="false" ht="15" hidden="false" customHeight="true" outlineLevel="0" collapsed="false">
      <c r="A4" s="6" t="s">
        <v>390</v>
      </c>
      <c r="B4" s="6" t="n">
        <v>47</v>
      </c>
      <c r="C4" s="6" t="n">
        <v>11.2</v>
      </c>
    </row>
    <row r="5" customFormat="false" ht="15" hidden="false" customHeight="true" outlineLevel="0" collapsed="false">
      <c r="A5" s="6" t="s">
        <v>391</v>
      </c>
      <c r="B5" s="6" t="n">
        <v>51</v>
      </c>
      <c r="C5" s="6" t="n">
        <v>15.1</v>
      </c>
    </row>
    <row r="6" customFormat="false" ht="15" hidden="false" customHeight="true" outlineLevel="0" collapsed="false">
      <c r="A6" s="6" t="s">
        <v>392</v>
      </c>
      <c r="B6" s="6" t="n">
        <v>69</v>
      </c>
      <c r="C6" s="6" t="n">
        <v>11</v>
      </c>
    </row>
    <row r="7" customFormat="false" ht="15" hidden="false" customHeight="true" outlineLevel="0" collapsed="false">
      <c r="A7" s="6" t="s">
        <v>393</v>
      </c>
      <c r="B7" s="6" t="n">
        <v>8</v>
      </c>
      <c r="C7" s="6" t="n">
        <v>4.6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4" min="3" style="1" width="16"/>
  </cols>
  <sheetData>
    <row r="1" customFormat="false" ht="15" hidden="false" customHeight="true" outlineLevel="0" collapsed="false">
      <c r="A1" s="4" t="s">
        <v>394</v>
      </c>
    </row>
    <row r="3" customFormat="false" ht="15" hidden="false" customHeight="true" outlineLevel="0" collapsed="false">
      <c r="A3" s="2" t="s">
        <v>1</v>
      </c>
      <c r="B3" s="2" t="s">
        <v>389</v>
      </c>
      <c r="C3" s="2" t="s">
        <v>395</v>
      </c>
      <c r="D3" s="2" t="s">
        <v>378</v>
      </c>
    </row>
    <row r="4" customFormat="false" ht="15" hidden="false" customHeight="true" outlineLevel="0" collapsed="false">
      <c r="A4" s="5" t="s">
        <v>23</v>
      </c>
      <c r="B4" s="6" t="n">
        <v>50</v>
      </c>
      <c r="C4" s="6" t="n">
        <v>523</v>
      </c>
      <c r="D4" s="6" t="n">
        <v>10.5</v>
      </c>
    </row>
    <row r="5" customFormat="false" ht="15" hidden="false" customHeight="true" outlineLevel="0" collapsed="false">
      <c r="A5" s="5" t="s">
        <v>7</v>
      </c>
      <c r="B5" s="6" t="n">
        <v>15</v>
      </c>
      <c r="C5" s="6" t="n">
        <v>264</v>
      </c>
      <c r="D5" s="6" t="n">
        <v>17.6</v>
      </c>
    </row>
    <row r="6" customFormat="false" ht="15" hidden="false" customHeight="true" outlineLevel="0" collapsed="false">
      <c r="A6" s="5" t="s">
        <v>102</v>
      </c>
      <c r="B6" s="6" t="n">
        <v>13</v>
      </c>
      <c r="C6" s="6" t="n">
        <v>286</v>
      </c>
      <c r="D6" s="6" t="n">
        <v>22</v>
      </c>
    </row>
    <row r="7" customFormat="false" ht="15" hidden="false" customHeight="true" outlineLevel="0" collapsed="false">
      <c r="A7" s="5" t="s">
        <v>190</v>
      </c>
      <c r="B7" s="6" t="n">
        <v>11</v>
      </c>
      <c r="C7" s="6" t="n">
        <v>125</v>
      </c>
      <c r="D7" s="6" t="n">
        <v>11.4</v>
      </c>
    </row>
    <row r="8" customFormat="false" ht="15" hidden="false" customHeight="true" outlineLevel="0" collapsed="false">
      <c r="A8" s="5" t="s">
        <v>278</v>
      </c>
      <c r="B8" s="6" t="n">
        <v>6</v>
      </c>
      <c r="C8" s="6" t="n">
        <v>34</v>
      </c>
      <c r="D8" s="6" t="n">
        <v>5.7</v>
      </c>
    </row>
    <row r="9" customFormat="false" ht="15" hidden="false" customHeight="true" outlineLevel="0" collapsed="false">
      <c r="A9" s="5" t="s">
        <v>47</v>
      </c>
      <c r="B9" s="6" t="n">
        <v>6</v>
      </c>
      <c r="C9" s="6" t="n">
        <v>86</v>
      </c>
      <c r="D9" s="6" t="n">
        <v>14.3</v>
      </c>
    </row>
    <row r="10" customFormat="false" ht="15" hidden="false" customHeight="true" outlineLevel="0" collapsed="false">
      <c r="A10" s="5" t="s">
        <v>26</v>
      </c>
      <c r="B10" s="6" t="n">
        <v>5</v>
      </c>
      <c r="C10" s="6" t="n">
        <v>37</v>
      </c>
      <c r="D10" s="6" t="n">
        <v>7.4</v>
      </c>
    </row>
    <row r="11" customFormat="false" ht="15" hidden="false" customHeight="true" outlineLevel="0" collapsed="false">
      <c r="A11" s="5" t="s">
        <v>168</v>
      </c>
      <c r="B11" s="6" t="n">
        <v>4</v>
      </c>
      <c r="C11" s="6" t="n">
        <v>81</v>
      </c>
      <c r="D11" s="6" t="n">
        <v>20.2</v>
      </c>
    </row>
    <row r="12" customFormat="false" ht="15" hidden="false" customHeight="true" outlineLevel="0" collapsed="false">
      <c r="A12" s="5" t="s">
        <v>187</v>
      </c>
      <c r="B12" s="6" t="n">
        <v>4</v>
      </c>
      <c r="C12" s="6" t="n">
        <v>139</v>
      </c>
      <c r="D12" s="6" t="n">
        <v>34.8</v>
      </c>
    </row>
    <row r="13" customFormat="false" ht="15" hidden="false" customHeight="true" outlineLevel="0" collapsed="false">
      <c r="A13" s="5" t="s">
        <v>113</v>
      </c>
      <c r="B13" s="6" t="n">
        <v>4</v>
      </c>
      <c r="C13" s="6" t="n">
        <v>38</v>
      </c>
      <c r="D13" s="6" t="n">
        <v>9.5</v>
      </c>
    </row>
    <row r="14" customFormat="false" ht="15" hidden="false" customHeight="true" outlineLevel="0" collapsed="false">
      <c r="A14" s="5" t="s">
        <v>271</v>
      </c>
      <c r="B14" s="6" t="n">
        <v>3</v>
      </c>
      <c r="C14" s="6" t="n">
        <v>6</v>
      </c>
      <c r="D14" s="6" t="n">
        <v>2</v>
      </c>
    </row>
    <row r="15" customFormat="false" ht="15" hidden="false" customHeight="true" outlineLevel="0" collapsed="false">
      <c r="A15" s="5" t="s">
        <v>70</v>
      </c>
      <c r="B15" s="6" t="n">
        <v>3</v>
      </c>
      <c r="C15" s="6" t="n">
        <v>5</v>
      </c>
      <c r="D15" s="6" t="n">
        <v>1.7</v>
      </c>
    </row>
    <row r="16" customFormat="false" ht="15" hidden="false" customHeight="true" outlineLevel="0" collapsed="false">
      <c r="A16" s="5" t="s">
        <v>149</v>
      </c>
      <c r="B16" s="6" t="n">
        <v>3</v>
      </c>
      <c r="C16" s="6" t="n">
        <v>24</v>
      </c>
      <c r="D16" s="6" t="n">
        <v>8</v>
      </c>
    </row>
    <row r="17" customFormat="false" ht="15" hidden="false" customHeight="true" outlineLevel="0" collapsed="false">
      <c r="A17" s="5" t="s">
        <v>286</v>
      </c>
      <c r="B17" s="6" t="n">
        <v>2</v>
      </c>
      <c r="C17" s="6" t="n">
        <v>9</v>
      </c>
      <c r="D17" s="6" t="n">
        <v>4.5</v>
      </c>
    </row>
    <row r="18" customFormat="false" ht="15" hidden="false" customHeight="true" outlineLevel="0" collapsed="false">
      <c r="A18" s="5" t="s">
        <v>155</v>
      </c>
      <c r="B18" s="6" t="n">
        <v>2</v>
      </c>
      <c r="C18" s="6" t="n">
        <v>39</v>
      </c>
      <c r="D18" s="6" t="n">
        <v>19.5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60"/>
    <col collapsed="false" customWidth="true" hidden="false" outlineLevel="0" max="4" min="4" style="1" width="10"/>
    <col collapsed="false" customWidth="true" hidden="false" outlineLevel="0" max="5" min="5" style="1" width="12"/>
  </cols>
  <sheetData>
    <row r="1" customFormat="false" ht="15" hidden="false" customHeight="true" outlineLevel="0" collapsed="false">
      <c r="A1" s="4" t="s">
        <v>396</v>
      </c>
    </row>
    <row r="3" customFormat="false" ht="15" hidden="false" customHeight="true" outlineLevel="0" collapsed="false">
      <c r="A3" s="2" t="s">
        <v>0</v>
      </c>
      <c r="B3" s="2" t="s">
        <v>1</v>
      </c>
      <c r="C3" s="2" t="s">
        <v>3</v>
      </c>
      <c r="D3" s="2" t="s">
        <v>4</v>
      </c>
      <c r="E3" s="2" t="s">
        <v>374</v>
      </c>
    </row>
    <row r="4" customFormat="false" ht="15" hidden="false" customHeight="true" outlineLevel="0" collapsed="false">
      <c r="A4" s="3" t="n">
        <v>1916</v>
      </c>
      <c r="B4" s="3" t="s">
        <v>187</v>
      </c>
      <c r="C4" s="3" t="s">
        <v>188</v>
      </c>
      <c r="D4" s="3" t="n">
        <v>65</v>
      </c>
      <c r="E4" s="3" t="s">
        <v>34</v>
      </c>
    </row>
    <row r="5" customFormat="false" ht="15" hidden="false" customHeight="true" outlineLevel="0" collapsed="false">
      <c r="A5" s="3" t="n">
        <v>1912</v>
      </c>
      <c r="B5" s="3" t="s">
        <v>23</v>
      </c>
      <c r="C5" s="3" t="s">
        <v>163</v>
      </c>
      <c r="D5" s="3" t="n">
        <v>59</v>
      </c>
      <c r="E5" s="3" t="s">
        <v>31</v>
      </c>
    </row>
    <row r="6" customFormat="false" ht="23.25" hidden="false" customHeight="true" outlineLevel="0" collapsed="false">
      <c r="A6" s="3" t="n">
        <v>1925</v>
      </c>
      <c r="B6" s="3" t="s">
        <v>102</v>
      </c>
      <c r="C6" s="3" t="s">
        <v>341</v>
      </c>
      <c r="D6" s="3" t="n">
        <v>54</v>
      </c>
      <c r="E6" s="3" t="s">
        <v>9</v>
      </c>
    </row>
    <row r="7" customFormat="false" ht="15" hidden="false" customHeight="true" outlineLevel="0" collapsed="false">
      <c r="A7" s="3" t="n">
        <v>1921</v>
      </c>
      <c r="B7" s="3" t="s">
        <v>23</v>
      </c>
      <c r="C7" s="3" t="s">
        <v>243</v>
      </c>
      <c r="D7" s="3" t="n">
        <v>44</v>
      </c>
      <c r="E7" s="3" t="s">
        <v>9</v>
      </c>
    </row>
    <row r="8" customFormat="false" ht="15" hidden="false" customHeight="true" outlineLevel="0" collapsed="false">
      <c r="A8" s="3" t="n">
        <v>1924</v>
      </c>
      <c r="B8" s="3" t="s">
        <v>102</v>
      </c>
      <c r="C8" s="3" t="s">
        <v>311</v>
      </c>
      <c r="D8" s="3" t="n">
        <v>42</v>
      </c>
      <c r="E8" s="3" t="s">
        <v>9</v>
      </c>
    </row>
    <row r="9" customFormat="false" ht="23.25" hidden="false" customHeight="true" outlineLevel="0" collapsed="false">
      <c r="A9" s="3" t="n">
        <v>1904</v>
      </c>
      <c r="B9" s="3" t="s">
        <v>7</v>
      </c>
      <c r="C9" s="3" t="s">
        <v>8</v>
      </c>
      <c r="D9" s="3" t="n">
        <v>41</v>
      </c>
      <c r="E9" s="3" t="s">
        <v>9</v>
      </c>
    </row>
    <row r="10" customFormat="false" ht="15" hidden="false" customHeight="true" outlineLevel="0" collapsed="false">
      <c r="A10" s="3" t="n">
        <v>1912</v>
      </c>
      <c r="B10" s="3" t="s">
        <v>47</v>
      </c>
      <c r="C10" s="3" t="s">
        <v>157</v>
      </c>
      <c r="D10" s="3" t="n">
        <v>40</v>
      </c>
      <c r="E10" s="3" t="s">
        <v>9</v>
      </c>
    </row>
    <row r="11" customFormat="false" ht="15" hidden="false" customHeight="true" outlineLevel="0" collapsed="false">
      <c r="A11" s="3" t="n">
        <v>1926</v>
      </c>
      <c r="B11" s="3" t="s">
        <v>102</v>
      </c>
      <c r="C11" s="3" t="s">
        <v>347</v>
      </c>
      <c r="D11" s="3" t="n">
        <v>34</v>
      </c>
      <c r="E11" s="3" t="s">
        <v>13</v>
      </c>
    </row>
    <row r="12" customFormat="false" ht="15" hidden="false" customHeight="true" outlineLevel="0" collapsed="false">
      <c r="A12" s="3" t="n">
        <v>1907</v>
      </c>
      <c r="B12" s="3" t="s">
        <v>7</v>
      </c>
      <c r="C12" s="3" t="s">
        <v>64</v>
      </c>
      <c r="D12" s="3" t="n">
        <v>34</v>
      </c>
      <c r="E12" s="3" t="s">
        <v>34</v>
      </c>
    </row>
    <row r="13" customFormat="false" ht="15" hidden="false" customHeight="true" outlineLevel="0" collapsed="false">
      <c r="A13" s="3" t="n">
        <v>1913</v>
      </c>
      <c r="B13" s="3" t="s">
        <v>7</v>
      </c>
      <c r="C13" s="3" t="s">
        <v>173</v>
      </c>
      <c r="D13" s="3" t="n">
        <v>34</v>
      </c>
      <c r="E13" s="3" t="s">
        <v>9</v>
      </c>
    </row>
    <row r="14" customFormat="false" ht="15" hidden="false" customHeight="true" outlineLevel="0" collapsed="false">
      <c r="A14" s="3" t="n">
        <v>1919</v>
      </c>
      <c r="B14" s="3" t="s">
        <v>23</v>
      </c>
      <c r="C14" s="3" t="s">
        <v>211</v>
      </c>
      <c r="D14" s="3" t="n">
        <v>34</v>
      </c>
      <c r="E14" s="3" t="s">
        <v>13</v>
      </c>
    </row>
    <row r="15" customFormat="false" ht="15" hidden="false" customHeight="true" outlineLevel="0" collapsed="false">
      <c r="A15" s="3" t="n">
        <v>1925</v>
      </c>
      <c r="B15" s="3" t="s">
        <v>316</v>
      </c>
      <c r="C15" s="3" t="s">
        <v>317</v>
      </c>
      <c r="D15" s="3" t="n">
        <v>32</v>
      </c>
      <c r="E15" s="3" t="s">
        <v>9</v>
      </c>
    </row>
    <row r="16" customFormat="false" ht="15" hidden="false" customHeight="true" outlineLevel="0" collapsed="false">
      <c r="A16" s="3" t="n">
        <v>1913</v>
      </c>
      <c r="B16" s="3" t="s">
        <v>168</v>
      </c>
      <c r="C16" s="3" t="s">
        <v>176</v>
      </c>
      <c r="D16" s="3" t="n">
        <v>31</v>
      </c>
      <c r="E16" s="3" t="s">
        <v>9</v>
      </c>
    </row>
    <row r="17" customFormat="false" ht="15" hidden="false" customHeight="true" outlineLevel="0" collapsed="false">
      <c r="A17" s="3" t="n">
        <v>1927</v>
      </c>
      <c r="B17" s="3" t="s">
        <v>102</v>
      </c>
      <c r="C17" s="3" t="s">
        <v>350</v>
      </c>
      <c r="D17" s="3" t="n">
        <v>30</v>
      </c>
      <c r="E17" s="3" t="s">
        <v>34</v>
      </c>
    </row>
    <row r="18" customFormat="false" ht="15" hidden="false" customHeight="true" outlineLevel="0" collapsed="false">
      <c r="A18" s="3" t="n">
        <v>1912</v>
      </c>
      <c r="B18" s="3" t="s">
        <v>155</v>
      </c>
      <c r="C18" s="3" t="s">
        <v>156</v>
      </c>
      <c r="D18" s="3" t="n">
        <v>28</v>
      </c>
      <c r="E18" s="3" t="s">
        <v>13</v>
      </c>
    </row>
    <row r="19" customFormat="false" ht="15" hidden="false" customHeight="true" outlineLevel="0" collapsed="false">
      <c r="A19" s="3" t="n">
        <v>1912</v>
      </c>
      <c r="B19" s="3" t="s">
        <v>168</v>
      </c>
      <c r="C19" s="3" t="s">
        <v>169</v>
      </c>
      <c r="D19" s="3" t="n">
        <v>28</v>
      </c>
      <c r="E19" s="3" t="s">
        <v>9</v>
      </c>
    </row>
    <row r="20" customFormat="false" ht="15" hidden="false" customHeight="true" outlineLevel="0" collapsed="false">
      <c r="A20" s="3" t="n">
        <v>1920</v>
      </c>
      <c r="B20" s="3" t="s">
        <v>187</v>
      </c>
      <c r="C20" s="3" t="s">
        <v>225</v>
      </c>
      <c r="D20" s="3" t="n">
        <v>28</v>
      </c>
      <c r="E20" s="3" t="s">
        <v>34</v>
      </c>
    </row>
    <row r="21" customFormat="false" ht="23.25" hidden="false" customHeight="true" outlineLevel="0" collapsed="false">
      <c r="A21" s="3" t="n">
        <v>1912</v>
      </c>
      <c r="B21" s="3" t="s">
        <v>7</v>
      </c>
      <c r="C21" s="3" t="s">
        <v>153</v>
      </c>
      <c r="D21" s="3" t="n">
        <v>27</v>
      </c>
      <c r="E21" s="3" t="s">
        <v>31</v>
      </c>
    </row>
    <row r="22" customFormat="false" ht="23.25" hidden="false" customHeight="true" outlineLevel="0" collapsed="false">
      <c r="A22" s="3" t="n">
        <v>1906</v>
      </c>
      <c r="B22" s="3" t="s">
        <v>23</v>
      </c>
      <c r="C22" s="3" t="s">
        <v>51</v>
      </c>
      <c r="D22" s="3" t="n">
        <v>27</v>
      </c>
      <c r="E22" s="3" t="s">
        <v>31</v>
      </c>
    </row>
    <row r="23" customFormat="false" ht="15" hidden="false" customHeight="true" outlineLevel="0" collapsed="false">
      <c r="A23" s="3" t="n">
        <v>1920</v>
      </c>
      <c r="B23" s="3" t="s">
        <v>187</v>
      </c>
      <c r="C23" s="3" t="s">
        <v>227</v>
      </c>
      <c r="D23" s="3" t="n">
        <v>26</v>
      </c>
      <c r="E23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8"/>
    <col collapsed="false" customWidth="true" hidden="false" outlineLevel="0" max="3" min="3" style="1" width="8"/>
  </cols>
  <sheetData>
    <row r="1" customFormat="false" ht="15" hidden="false" customHeight="true" outlineLevel="0" collapsed="false">
      <c r="A1" s="4" t="s">
        <v>397</v>
      </c>
    </row>
    <row r="2" customFormat="false" ht="15" hidden="false" customHeight="true" outlineLevel="0" collapsed="false">
      <c r="A2" s="9" t="s">
        <v>398</v>
      </c>
    </row>
    <row r="4" customFormat="false" ht="15" hidden="false" customHeight="true" outlineLevel="0" collapsed="false">
      <c r="A4" s="2" t="s">
        <v>399</v>
      </c>
      <c r="B4" s="2" t="s">
        <v>375</v>
      </c>
      <c r="C4" s="2" t="s">
        <v>376</v>
      </c>
    </row>
    <row r="5" customFormat="false" ht="15" hidden="false" customHeight="true" outlineLevel="0" collapsed="false">
      <c r="A5" s="5" t="s">
        <v>400</v>
      </c>
      <c r="B5" s="5" t="s">
        <v>401</v>
      </c>
      <c r="C5" s="6" t="n">
        <v>17</v>
      </c>
    </row>
    <row r="6" customFormat="false" ht="15" hidden="false" customHeight="true" outlineLevel="0" collapsed="false">
      <c r="A6" s="5" t="s">
        <v>402</v>
      </c>
      <c r="B6" s="5" t="s">
        <v>403</v>
      </c>
      <c r="C6" s="6" t="n">
        <v>51</v>
      </c>
    </row>
    <row r="7" customFormat="false" ht="15" hidden="false" customHeight="true" outlineLevel="0" collapsed="false">
      <c r="A7" s="5" t="s">
        <v>404</v>
      </c>
      <c r="B7" s="5" t="s">
        <v>405</v>
      </c>
      <c r="C7" s="6" t="n">
        <v>13</v>
      </c>
    </row>
    <row r="8" customFormat="false" ht="15" hidden="false" customHeight="true" outlineLevel="0" collapsed="false">
      <c r="A8" s="5" t="s">
        <v>406</v>
      </c>
      <c r="B8" s="5" t="s">
        <v>407</v>
      </c>
      <c r="C8" s="6" t="n">
        <v>55</v>
      </c>
    </row>
    <row r="9" customFormat="false" ht="15" hidden="false" customHeight="true" outlineLevel="0" collapsed="false">
      <c r="A9" s="5" t="s">
        <v>408</v>
      </c>
      <c r="B9" s="5" t="s">
        <v>409</v>
      </c>
      <c r="C9" s="6" t="n">
        <v>36</v>
      </c>
    </row>
    <row r="10" customFormat="false" ht="15" hidden="false" customHeight="true" outlineLevel="0" collapsed="false">
      <c r="A10" s="5" t="s">
        <v>410</v>
      </c>
      <c r="B10" s="5" t="s">
        <v>411</v>
      </c>
      <c r="C10" s="6" t="n">
        <v>3</v>
      </c>
    </row>
    <row r="12" customFormat="false" ht="15" hidden="false" customHeight="true" outlineLevel="0" collapsed="false">
      <c r="A12" s="4" t="s">
        <v>412</v>
      </c>
    </row>
    <row r="13" customFormat="false" ht="15" hidden="false" customHeight="true" outlineLevel="0" collapsed="false">
      <c r="A13" s="2" t="s">
        <v>413</v>
      </c>
      <c r="B13" s="2" t="s">
        <v>31</v>
      </c>
      <c r="C13" s="2" t="s">
        <v>9</v>
      </c>
      <c r="D13" s="2" t="s">
        <v>34</v>
      </c>
      <c r="E13" s="2" t="s">
        <v>13</v>
      </c>
      <c r="F13" s="2" t="s">
        <v>178</v>
      </c>
    </row>
    <row r="14" customFormat="false" ht="15" hidden="false" customHeight="true" outlineLevel="0" collapsed="false">
      <c r="A14" s="5" t="s">
        <v>400</v>
      </c>
      <c r="B14" s="6" t="n">
        <v>7</v>
      </c>
      <c r="C14" s="6" t="n">
        <v>5</v>
      </c>
      <c r="D14" s="10" t="n">
        <v>2</v>
      </c>
      <c r="E14" s="10" t="n">
        <v>3</v>
      </c>
      <c r="F14" s="6" t="n">
        <v>0</v>
      </c>
    </row>
    <row r="15" customFormat="false" ht="15" hidden="false" customHeight="true" outlineLevel="0" collapsed="false">
      <c r="A15" s="5" t="s">
        <v>402</v>
      </c>
      <c r="B15" s="6" t="n">
        <v>7</v>
      </c>
      <c r="C15" s="6" t="n">
        <v>24</v>
      </c>
      <c r="D15" s="10" t="n">
        <v>5</v>
      </c>
      <c r="E15" s="10" t="n">
        <v>12</v>
      </c>
      <c r="F15" s="10" t="n">
        <v>3</v>
      </c>
    </row>
    <row r="16" customFormat="false" ht="15" hidden="false" customHeight="true" outlineLevel="0" collapsed="false">
      <c r="A16" s="5" t="s">
        <v>404</v>
      </c>
      <c r="B16" s="6" t="n">
        <v>5</v>
      </c>
      <c r="C16" s="6" t="n">
        <v>2</v>
      </c>
      <c r="D16" s="10" t="n">
        <v>1</v>
      </c>
      <c r="E16" s="10" t="n">
        <v>5</v>
      </c>
      <c r="F16" s="6" t="n">
        <v>0</v>
      </c>
    </row>
    <row r="17" customFormat="false" ht="15" hidden="false" customHeight="true" outlineLevel="0" collapsed="false">
      <c r="A17" s="5" t="s">
        <v>406</v>
      </c>
      <c r="B17" s="6" t="n">
        <v>1</v>
      </c>
      <c r="C17" s="6" t="n">
        <v>39</v>
      </c>
      <c r="D17" s="6" t="n">
        <v>9</v>
      </c>
      <c r="E17" s="6" t="n">
        <v>5</v>
      </c>
      <c r="F17" s="6" t="n">
        <v>1</v>
      </c>
    </row>
    <row r="18" customFormat="false" ht="15" hidden="false" customHeight="true" outlineLevel="0" collapsed="false">
      <c r="A18" s="5" t="s">
        <v>408</v>
      </c>
      <c r="B18" s="6" t="n">
        <v>2</v>
      </c>
      <c r="C18" s="6" t="n">
        <v>0</v>
      </c>
      <c r="D18" s="6" t="n">
        <v>20</v>
      </c>
      <c r="E18" s="6" t="n">
        <v>13</v>
      </c>
      <c r="F18" s="6" t="n">
        <v>1</v>
      </c>
    </row>
    <row r="19" customFormat="false" ht="15" hidden="false" customHeight="true" outlineLevel="0" collapsed="false">
      <c r="A19" s="5" t="s">
        <v>410</v>
      </c>
      <c r="B19" s="6" t="n">
        <v>0</v>
      </c>
      <c r="C19" s="6" t="n">
        <v>0</v>
      </c>
      <c r="D19" s="6" t="n">
        <v>0</v>
      </c>
      <c r="E19" s="6" t="n">
        <v>3</v>
      </c>
      <c r="F19" s="6" t="n">
        <v>0</v>
      </c>
    </row>
    <row r="21" customFormat="false" ht="15" hidden="false" customHeight="true" outlineLevel="0" collapsed="false">
      <c r="A21" s="11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7"/>
    <col collapsed="false" customWidth="true" hidden="false" outlineLevel="0" max="3" min="3" style="1" width="40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16"/>
    <col collapsed="false" customWidth="true" hidden="false" outlineLevel="0" max="7" min="7" style="1" width="46"/>
    <col collapsed="false" customWidth="true" hidden="false" outlineLevel="0" max="8" min="8" style="1" width="24"/>
  </cols>
  <sheetData>
    <row r="1" customFormat="false" ht="15" hidden="false" customHeight="true" outlineLevel="0" collapsed="false">
      <c r="A1" s="4" t="s">
        <v>415</v>
      </c>
    </row>
    <row r="3" customFormat="false" ht="26.25" hidden="false" customHeight="true" outlineLevel="0" collapsed="false">
      <c r="A3" s="2" t="s">
        <v>0</v>
      </c>
      <c r="B3" s="2" t="s">
        <v>1</v>
      </c>
      <c r="C3" s="2" t="s">
        <v>416</v>
      </c>
      <c r="D3" s="2" t="s">
        <v>417</v>
      </c>
      <c r="E3" s="2" t="s">
        <v>418</v>
      </c>
      <c r="F3" s="2" t="s">
        <v>419</v>
      </c>
      <c r="G3" s="2" t="s">
        <v>420</v>
      </c>
      <c r="H3" s="2" t="s">
        <v>421</v>
      </c>
    </row>
    <row r="4" customFormat="false" ht="34.5" hidden="false" customHeight="true" outlineLevel="0" collapsed="false">
      <c r="A4" s="3" t="n">
        <v>1919</v>
      </c>
      <c r="B4" s="3" t="s">
        <v>190</v>
      </c>
      <c r="C4" s="3" t="s">
        <v>191</v>
      </c>
      <c r="D4" s="3" t="s">
        <v>422</v>
      </c>
      <c r="E4" s="3" t="s">
        <v>13</v>
      </c>
      <c r="F4" s="3" t="s">
        <v>400</v>
      </c>
      <c r="G4" s="3" t="s">
        <v>423</v>
      </c>
      <c r="H4" s="3" t="s">
        <v>424</v>
      </c>
    </row>
    <row r="5" customFormat="false" ht="45.75" hidden="false" customHeight="true" outlineLevel="0" collapsed="false">
      <c r="A5" s="3" t="n">
        <v>1924</v>
      </c>
      <c r="B5" s="3" t="s">
        <v>190</v>
      </c>
      <c r="C5" s="3" t="s">
        <v>246</v>
      </c>
      <c r="D5" s="3" t="s">
        <v>422</v>
      </c>
      <c r="E5" s="3" t="s">
        <v>13</v>
      </c>
      <c r="F5" s="3" t="s">
        <v>400</v>
      </c>
      <c r="G5" s="3" t="s">
        <v>425</v>
      </c>
      <c r="H5" s="3" t="s">
        <v>426</v>
      </c>
    </row>
    <row r="6" customFormat="false" ht="23.25" hidden="false" customHeight="true" outlineLevel="0" collapsed="false">
      <c r="A6" s="3" t="n">
        <v>1907</v>
      </c>
      <c r="B6" s="3" t="s">
        <v>26</v>
      </c>
      <c r="C6" s="3" t="s">
        <v>106</v>
      </c>
      <c r="D6" s="3" t="s">
        <v>427</v>
      </c>
      <c r="E6" s="3" t="s">
        <v>13</v>
      </c>
      <c r="F6" s="3" t="s">
        <v>400</v>
      </c>
      <c r="G6" s="3" t="s">
        <v>428</v>
      </c>
      <c r="H6" s="3" t="s">
        <v>429</v>
      </c>
    </row>
    <row r="7" customFormat="false" ht="45.75" hidden="false" customHeight="true" outlineLevel="0" collapsed="false">
      <c r="A7" s="3" t="n">
        <v>1909</v>
      </c>
      <c r="B7" s="3" t="s">
        <v>119</v>
      </c>
      <c r="C7" s="3" t="s">
        <v>120</v>
      </c>
      <c r="D7" s="3" t="s">
        <v>430</v>
      </c>
      <c r="E7" s="3" t="s">
        <v>34</v>
      </c>
      <c r="F7" s="3" t="s">
        <v>400</v>
      </c>
      <c r="G7" s="3" t="s">
        <v>431</v>
      </c>
      <c r="H7" s="3" t="s">
        <v>432</v>
      </c>
    </row>
    <row r="8" customFormat="false" ht="34.5" hidden="false" customHeight="true" outlineLevel="0" collapsed="false">
      <c r="A8" s="3" t="n">
        <v>1907</v>
      </c>
      <c r="B8" s="3" t="s">
        <v>48</v>
      </c>
      <c r="C8" s="3" t="s">
        <v>78</v>
      </c>
      <c r="D8" s="3" t="s">
        <v>433</v>
      </c>
      <c r="E8" s="3" t="s">
        <v>34</v>
      </c>
      <c r="F8" s="3" t="s">
        <v>400</v>
      </c>
      <c r="G8" s="3" t="s">
        <v>434</v>
      </c>
      <c r="H8" s="3" t="s">
        <v>435</v>
      </c>
    </row>
    <row r="9" customFormat="false" ht="23.25" hidden="false" customHeight="true" outlineLevel="0" collapsed="false">
      <c r="A9" s="3" t="n">
        <v>1919</v>
      </c>
      <c r="B9" s="3" t="s">
        <v>23</v>
      </c>
      <c r="C9" s="3" t="s">
        <v>211</v>
      </c>
      <c r="D9" s="3" t="s">
        <v>436</v>
      </c>
      <c r="E9" s="3" t="s">
        <v>13</v>
      </c>
      <c r="F9" s="3" t="s">
        <v>402</v>
      </c>
      <c r="G9" s="3" t="s">
        <v>437</v>
      </c>
      <c r="H9" s="3" t="s">
        <v>438</v>
      </c>
    </row>
    <row r="10" customFormat="false" ht="34.5" hidden="false" customHeight="true" outlineLevel="0" collapsed="false">
      <c r="A10" s="3" t="n">
        <v>1914</v>
      </c>
      <c r="B10" s="3" t="s">
        <v>186</v>
      </c>
      <c r="C10" s="3" t="s">
        <v>163</v>
      </c>
      <c r="D10" s="3" t="s">
        <v>439</v>
      </c>
      <c r="E10" s="3" t="s">
        <v>13</v>
      </c>
      <c r="F10" s="3" t="s">
        <v>402</v>
      </c>
      <c r="G10" s="3" t="s">
        <v>440</v>
      </c>
      <c r="H10" s="3" t="s">
        <v>441</v>
      </c>
    </row>
    <row r="11" customFormat="false" ht="34.5" hidden="false" customHeight="true" outlineLevel="0" collapsed="false">
      <c r="A11" s="3" t="n">
        <v>1907</v>
      </c>
      <c r="B11" s="3" t="s">
        <v>23</v>
      </c>
      <c r="C11" s="3" t="s">
        <v>94</v>
      </c>
      <c r="D11" s="3" t="s">
        <v>436</v>
      </c>
      <c r="E11" s="3" t="s">
        <v>34</v>
      </c>
      <c r="F11" s="3" t="s">
        <v>402</v>
      </c>
      <c r="G11" s="3" t="s">
        <v>442</v>
      </c>
      <c r="H11" s="3" t="s">
        <v>443</v>
      </c>
    </row>
    <row r="12" customFormat="false" ht="34.5" hidden="false" customHeight="true" outlineLevel="0" collapsed="false">
      <c r="A12" s="3" t="n">
        <v>1906</v>
      </c>
      <c r="B12" s="3" t="s">
        <v>40</v>
      </c>
      <c r="C12" s="3" t="s">
        <v>41</v>
      </c>
      <c r="D12" s="3" t="s">
        <v>444</v>
      </c>
      <c r="E12" s="3" t="s">
        <v>13</v>
      </c>
      <c r="F12" s="3" t="s">
        <v>402</v>
      </c>
      <c r="G12" s="3" t="s">
        <v>445</v>
      </c>
      <c r="H12" s="3" t="s">
        <v>446</v>
      </c>
    </row>
    <row r="13" customFormat="false" ht="34.5" hidden="false" customHeight="true" outlineLevel="0" collapsed="false">
      <c r="A13" s="3" t="n">
        <v>1907</v>
      </c>
      <c r="B13" s="3" t="s">
        <v>7</v>
      </c>
      <c r="C13" s="3" t="s">
        <v>69</v>
      </c>
      <c r="D13" s="3" t="s">
        <v>447</v>
      </c>
      <c r="E13" s="3" t="s">
        <v>13</v>
      </c>
      <c r="F13" s="3" t="s">
        <v>402</v>
      </c>
      <c r="G13" s="3" t="s">
        <v>448</v>
      </c>
      <c r="H13" s="3" t="s">
        <v>449</v>
      </c>
    </row>
    <row r="14" customFormat="false" ht="23.25" hidden="false" customHeight="true" outlineLevel="0" collapsed="false">
      <c r="A14" s="3" t="n">
        <v>1912</v>
      </c>
      <c r="B14" s="3" t="s">
        <v>159</v>
      </c>
      <c r="C14" s="3" t="s">
        <v>160</v>
      </c>
      <c r="D14" s="3" t="s">
        <v>450</v>
      </c>
      <c r="E14" s="3" t="s">
        <v>13</v>
      </c>
      <c r="F14" s="3" t="s">
        <v>402</v>
      </c>
      <c r="G14" s="3" t="s">
        <v>451</v>
      </c>
      <c r="H14" s="3" t="s">
        <v>452</v>
      </c>
    </row>
    <row r="15" customFormat="false" ht="34.5" hidden="false" customHeight="true" outlineLevel="0" collapsed="false">
      <c r="A15" s="3" t="n">
        <v>1922</v>
      </c>
      <c r="B15" s="3" t="s">
        <v>212</v>
      </c>
      <c r="C15" s="3" t="s">
        <v>261</v>
      </c>
      <c r="D15" s="3" t="s">
        <v>453</v>
      </c>
      <c r="E15" s="3" t="s">
        <v>13</v>
      </c>
      <c r="F15" s="3" t="s">
        <v>402</v>
      </c>
      <c r="G15" s="3" t="s">
        <v>454</v>
      </c>
      <c r="H15" s="3" t="s">
        <v>455</v>
      </c>
    </row>
    <row r="16" customFormat="false" ht="34.5" hidden="false" customHeight="true" outlineLevel="0" collapsed="false">
      <c r="A16" s="3" t="n">
        <v>1907</v>
      </c>
      <c r="B16" s="3" t="s">
        <v>75</v>
      </c>
      <c r="C16" s="3" t="s">
        <v>76</v>
      </c>
      <c r="D16" s="3" t="s">
        <v>456</v>
      </c>
      <c r="E16" s="3" t="s">
        <v>13</v>
      </c>
      <c r="F16" s="3" t="s">
        <v>402</v>
      </c>
      <c r="G16" s="3" t="s">
        <v>457</v>
      </c>
      <c r="H16" s="3" t="s">
        <v>458</v>
      </c>
    </row>
    <row r="17" customFormat="false" ht="23.25" hidden="false" customHeight="true" outlineLevel="0" collapsed="false">
      <c r="A17" s="3" t="n">
        <v>1912</v>
      </c>
      <c r="B17" s="3" t="s">
        <v>113</v>
      </c>
      <c r="C17" s="3" t="s">
        <v>161</v>
      </c>
      <c r="D17" s="3" t="s">
        <v>447</v>
      </c>
      <c r="E17" s="3" t="s">
        <v>13</v>
      </c>
      <c r="F17" s="3" t="s">
        <v>402</v>
      </c>
      <c r="G17" s="3" t="s">
        <v>459</v>
      </c>
      <c r="H17" s="3" t="s">
        <v>460</v>
      </c>
    </row>
    <row r="18" customFormat="false" ht="34.5" hidden="false" customHeight="true" outlineLevel="0" collapsed="false">
      <c r="A18" s="3" t="n">
        <v>1907</v>
      </c>
      <c r="B18" s="3" t="s">
        <v>82</v>
      </c>
      <c r="C18" s="3" t="s">
        <v>83</v>
      </c>
      <c r="D18" s="3" t="s">
        <v>453</v>
      </c>
      <c r="E18" s="3" t="s">
        <v>34</v>
      </c>
      <c r="F18" s="3" t="s">
        <v>402</v>
      </c>
      <c r="G18" s="3" t="s">
        <v>461</v>
      </c>
      <c r="H18" s="3" t="s">
        <v>462</v>
      </c>
    </row>
    <row r="19" customFormat="false" ht="45.75" hidden="false" customHeight="true" outlineLevel="0" collapsed="false">
      <c r="A19" s="3" t="n">
        <v>1906</v>
      </c>
      <c r="B19" s="3" t="s">
        <v>11</v>
      </c>
      <c r="C19" s="3" t="s">
        <v>33</v>
      </c>
      <c r="D19" s="3" t="s">
        <v>463</v>
      </c>
      <c r="E19" s="3" t="s">
        <v>34</v>
      </c>
      <c r="F19" s="3" t="s">
        <v>402</v>
      </c>
      <c r="G19" s="3" t="s">
        <v>464</v>
      </c>
      <c r="H19" s="3" t="s">
        <v>465</v>
      </c>
    </row>
    <row r="20" customFormat="false" ht="34.5" hidden="false" customHeight="true" outlineLevel="0" collapsed="false">
      <c r="A20" s="3" t="n">
        <v>1917</v>
      </c>
      <c r="B20" s="3" t="s">
        <v>23</v>
      </c>
      <c r="C20" s="3" t="s">
        <v>163</v>
      </c>
      <c r="D20" s="3" t="s">
        <v>439</v>
      </c>
      <c r="E20" s="3" t="s">
        <v>34</v>
      </c>
      <c r="F20" s="3" t="s">
        <v>402</v>
      </c>
      <c r="G20" s="3" t="s">
        <v>440</v>
      </c>
      <c r="H20" s="3" t="s">
        <v>441</v>
      </c>
    </row>
    <row r="21" customFormat="false" ht="34.5" hidden="false" customHeight="true" outlineLevel="0" collapsed="false">
      <c r="A21" s="3" t="n">
        <v>1917</v>
      </c>
      <c r="B21" s="3" t="s">
        <v>53</v>
      </c>
      <c r="C21" s="3" t="s">
        <v>203</v>
      </c>
      <c r="D21" s="3" t="s">
        <v>436</v>
      </c>
      <c r="E21" s="3" t="s">
        <v>13</v>
      </c>
      <c r="F21" s="3" t="s">
        <v>402</v>
      </c>
      <c r="G21" s="3" t="s">
        <v>442</v>
      </c>
      <c r="H21" s="3" t="s">
        <v>443</v>
      </c>
    </row>
    <row r="22" customFormat="false" ht="34.5" hidden="false" customHeight="true" outlineLevel="0" collapsed="false">
      <c r="A22" s="3" t="n">
        <v>1922</v>
      </c>
      <c r="B22" s="3" t="s">
        <v>7</v>
      </c>
      <c r="C22" s="3" t="s">
        <v>253</v>
      </c>
      <c r="D22" s="3" t="s">
        <v>453</v>
      </c>
      <c r="E22" s="3" t="s">
        <v>13</v>
      </c>
      <c r="F22" s="3" t="s">
        <v>402</v>
      </c>
      <c r="G22" s="3" t="s">
        <v>466</v>
      </c>
      <c r="H22" s="3" t="s">
        <v>467</v>
      </c>
    </row>
    <row r="23" customFormat="false" ht="23.25" hidden="false" customHeight="true" outlineLevel="0" collapsed="false">
      <c r="A23" s="3" t="n">
        <v>1905</v>
      </c>
      <c r="B23" s="3" t="s">
        <v>11</v>
      </c>
      <c r="C23" s="3" t="s">
        <v>12</v>
      </c>
      <c r="D23" s="3" t="s">
        <v>468</v>
      </c>
      <c r="E23" s="3" t="s">
        <v>13</v>
      </c>
      <c r="F23" s="3" t="s">
        <v>402</v>
      </c>
      <c r="G23" s="3" t="s">
        <v>469</v>
      </c>
      <c r="H23" s="3" t="s">
        <v>470</v>
      </c>
    </row>
    <row r="24" customFormat="false" ht="34.5" hidden="false" customHeight="true" outlineLevel="0" collapsed="false">
      <c r="A24" s="3" t="n">
        <v>1925</v>
      </c>
      <c r="B24" s="3" t="s">
        <v>23</v>
      </c>
      <c r="C24" s="3" t="s">
        <v>329</v>
      </c>
      <c r="D24" s="3" t="s">
        <v>456</v>
      </c>
      <c r="E24" s="3" t="s">
        <v>13</v>
      </c>
      <c r="F24" s="3" t="s">
        <v>402</v>
      </c>
      <c r="G24" s="3" t="s">
        <v>471</v>
      </c>
      <c r="H24" s="3" t="s">
        <v>472</v>
      </c>
    </row>
    <row r="25" customFormat="false" ht="57" hidden="false" customHeight="true" outlineLevel="0" collapsed="false">
      <c r="A25" s="3" t="n">
        <v>1930</v>
      </c>
      <c r="B25" s="3" t="s">
        <v>365</v>
      </c>
      <c r="C25" s="3" t="s">
        <v>366</v>
      </c>
      <c r="D25" s="3" t="s">
        <v>473</v>
      </c>
      <c r="E25" s="3" t="s">
        <v>34</v>
      </c>
      <c r="F25" s="3" t="s">
        <v>402</v>
      </c>
      <c r="G25" s="3" t="s">
        <v>474</v>
      </c>
      <c r="H25" s="3" t="s">
        <v>475</v>
      </c>
    </row>
    <row r="26" customFormat="false" ht="23.25" hidden="false" customHeight="true" outlineLevel="0" collapsed="false">
      <c r="A26" s="3" t="n">
        <v>1914</v>
      </c>
      <c r="B26" s="3" t="s">
        <v>184</v>
      </c>
      <c r="C26" s="3" t="s">
        <v>185</v>
      </c>
      <c r="D26" s="3" t="s">
        <v>476</v>
      </c>
      <c r="E26" s="3" t="s">
        <v>178</v>
      </c>
      <c r="F26" s="3" t="s">
        <v>402</v>
      </c>
      <c r="G26" s="3" t="s">
        <v>477</v>
      </c>
      <c r="H26" s="3" t="s">
        <v>478</v>
      </c>
    </row>
    <row r="27" customFormat="false" ht="34.5" hidden="false" customHeight="true" outlineLevel="0" collapsed="false">
      <c r="A27" s="3" t="n">
        <v>1924</v>
      </c>
      <c r="B27" s="3" t="s">
        <v>278</v>
      </c>
      <c r="C27" s="3" t="s">
        <v>299</v>
      </c>
      <c r="D27" s="3" t="s">
        <v>479</v>
      </c>
      <c r="E27" s="3" t="s">
        <v>178</v>
      </c>
      <c r="F27" s="3" t="s">
        <v>402</v>
      </c>
      <c r="G27" s="3" t="s">
        <v>480</v>
      </c>
      <c r="H27" s="3" t="s">
        <v>481</v>
      </c>
    </row>
    <row r="28" customFormat="false" ht="45.75" hidden="false" customHeight="true" outlineLevel="0" collapsed="false">
      <c r="A28" s="3" t="n">
        <v>1924</v>
      </c>
      <c r="B28" s="3" t="s">
        <v>309</v>
      </c>
      <c r="C28" s="3" t="s">
        <v>310</v>
      </c>
      <c r="D28" s="3" t="s">
        <v>482</v>
      </c>
      <c r="E28" s="3" t="s">
        <v>178</v>
      </c>
      <c r="F28" s="3" t="s">
        <v>402</v>
      </c>
      <c r="G28" s="3" t="s">
        <v>457</v>
      </c>
      <c r="H28" s="3" t="s">
        <v>458</v>
      </c>
    </row>
    <row r="29" customFormat="false" ht="34.5" hidden="false" customHeight="true" outlineLevel="0" collapsed="false">
      <c r="A29" s="3" t="n">
        <v>1926</v>
      </c>
      <c r="B29" s="3" t="s">
        <v>102</v>
      </c>
      <c r="C29" s="3" t="s">
        <v>347</v>
      </c>
      <c r="D29" s="3" t="s">
        <v>483</v>
      </c>
      <c r="E29" s="3" t="s">
        <v>13</v>
      </c>
      <c r="F29" s="3" t="s">
        <v>404</v>
      </c>
      <c r="G29" s="3" t="s">
        <v>484</v>
      </c>
      <c r="H29" s="3" t="s">
        <v>485</v>
      </c>
    </row>
    <row r="30" customFormat="false" ht="34.5" hidden="false" customHeight="true" outlineLevel="0" collapsed="false">
      <c r="A30" s="3" t="n">
        <v>1912</v>
      </c>
      <c r="B30" s="3" t="s">
        <v>155</v>
      </c>
      <c r="C30" s="3" t="s">
        <v>156</v>
      </c>
      <c r="D30" s="3" t="s">
        <v>483</v>
      </c>
      <c r="E30" s="3" t="s">
        <v>13</v>
      </c>
      <c r="F30" s="3" t="s">
        <v>404</v>
      </c>
      <c r="G30" s="3" t="s">
        <v>484</v>
      </c>
      <c r="H30" s="3" t="s">
        <v>485</v>
      </c>
    </row>
    <row r="31" customFormat="false" ht="34.5" hidden="false" customHeight="true" outlineLevel="0" collapsed="false">
      <c r="A31" s="3" t="n">
        <v>1910</v>
      </c>
      <c r="B31" s="3" t="s">
        <v>122</v>
      </c>
      <c r="C31" s="3" t="s">
        <v>123</v>
      </c>
      <c r="D31" s="3" t="s">
        <v>483</v>
      </c>
      <c r="E31" s="3" t="s">
        <v>34</v>
      </c>
      <c r="F31" s="3" t="s">
        <v>404</v>
      </c>
      <c r="G31" s="3" t="s">
        <v>486</v>
      </c>
      <c r="H31" s="3" t="s">
        <v>487</v>
      </c>
    </row>
    <row r="32" customFormat="false" ht="34.5" hidden="false" customHeight="true" outlineLevel="0" collapsed="false">
      <c r="A32" s="3" t="n">
        <v>1922</v>
      </c>
      <c r="B32" s="3" t="s">
        <v>155</v>
      </c>
      <c r="C32" s="3" t="s">
        <v>257</v>
      </c>
      <c r="D32" s="3" t="s">
        <v>483</v>
      </c>
      <c r="E32" s="3" t="s">
        <v>13</v>
      </c>
      <c r="F32" s="3" t="s">
        <v>404</v>
      </c>
      <c r="G32" s="3" t="s">
        <v>484</v>
      </c>
      <c r="H32" s="3" t="s">
        <v>485</v>
      </c>
    </row>
    <row r="33" customFormat="false" ht="34.5" hidden="false" customHeight="true" outlineLevel="0" collapsed="false">
      <c r="A33" s="3" t="n">
        <v>1907</v>
      </c>
      <c r="B33" s="3" t="s">
        <v>59</v>
      </c>
      <c r="C33" s="3" t="s">
        <v>60</v>
      </c>
      <c r="D33" s="3" t="s">
        <v>488</v>
      </c>
      <c r="E33" s="3" t="s">
        <v>13</v>
      </c>
      <c r="F33" s="3" t="s">
        <v>404</v>
      </c>
      <c r="G33" s="3" t="s">
        <v>489</v>
      </c>
      <c r="H33" s="3" t="s">
        <v>490</v>
      </c>
    </row>
    <row r="34" customFormat="false" ht="45.75" hidden="false" customHeight="true" outlineLevel="0" collapsed="false">
      <c r="A34" s="3" t="n">
        <v>1924</v>
      </c>
      <c r="B34" s="3" t="s">
        <v>53</v>
      </c>
      <c r="C34" s="3" t="s">
        <v>304</v>
      </c>
      <c r="D34" s="3" t="s">
        <v>491</v>
      </c>
      <c r="E34" s="3" t="s">
        <v>13</v>
      </c>
      <c r="F34" s="3" t="s">
        <v>404</v>
      </c>
      <c r="G34" s="3" t="s">
        <v>492</v>
      </c>
      <c r="H34" s="3" t="s">
        <v>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2" t="s">
        <v>494</v>
      </c>
    </row>
    <row r="2" customFormat="false" ht="15" hidden="false" customHeight="false" outlineLevel="0" collapsed="false">
      <c r="A2" s="13" t="s">
        <v>495</v>
      </c>
    </row>
    <row r="4" customFormat="false" ht="15" hidden="false" customHeight="false" outlineLevel="0" collapsed="false">
      <c r="A4" s="2" t="s">
        <v>496</v>
      </c>
      <c r="B4" s="2" t="s">
        <v>497</v>
      </c>
    </row>
    <row r="5" customFormat="false" ht="15" hidden="false" customHeight="false" outlineLevel="0" collapsed="false">
      <c r="A5" s="14" t="s">
        <v>498</v>
      </c>
      <c r="B5" s="6" t="n">
        <v>175</v>
      </c>
    </row>
    <row r="6" customFormat="false" ht="15" hidden="false" customHeight="false" outlineLevel="0" collapsed="false">
      <c r="A6" s="14" t="s">
        <v>499</v>
      </c>
      <c r="B6" s="6" t="n">
        <v>2093</v>
      </c>
    </row>
    <row r="7" customFormat="false" ht="15" hidden="false" customHeight="false" outlineLevel="0" collapsed="false">
      <c r="A7" s="14" t="s">
        <v>500</v>
      </c>
      <c r="B7" s="6" t="n">
        <v>2004</v>
      </c>
    </row>
    <row r="8" customFormat="false" ht="15" hidden="false" customHeight="false" outlineLevel="0" collapsed="false">
      <c r="A8" s="14" t="s">
        <v>501</v>
      </c>
      <c r="B8" s="6" t="n">
        <v>89</v>
      </c>
    </row>
    <row r="9" customFormat="false" ht="15" hidden="false" customHeight="false" outlineLevel="0" collapsed="false">
      <c r="A9" s="14" t="s">
        <v>502</v>
      </c>
      <c r="B9" s="6" t="n">
        <v>149</v>
      </c>
    </row>
    <row r="10" customFormat="false" ht="15" hidden="false" customHeight="false" outlineLevel="0" collapsed="false">
      <c r="A10" s="14" t="s">
        <v>503</v>
      </c>
      <c r="B10" s="6" t="n">
        <v>130</v>
      </c>
    </row>
    <row r="11" customFormat="false" ht="15" hidden="false" customHeight="false" outlineLevel="0" collapsed="false">
      <c r="A11" s="14" t="s">
        <v>504</v>
      </c>
      <c r="B11" s="6" t="n">
        <v>4901</v>
      </c>
    </row>
    <row r="12" customFormat="false" ht="15" hidden="false" customHeight="false" outlineLevel="0" collapsed="false">
      <c r="A12" s="14" t="s">
        <v>505</v>
      </c>
      <c r="B12" s="6" t="n">
        <v>2347</v>
      </c>
    </row>
    <row r="13" customFormat="false" ht="15" hidden="false" customHeight="false" outlineLevel="0" collapsed="false">
      <c r="A13" s="14" t="s">
        <v>506</v>
      </c>
      <c r="B13" s="6" t="n">
        <v>2344</v>
      </c>
    </row>
    <row r="16" customFormat="false" ht="15" hidden="false" customHeight="false" outlineLevel="0" collapsed="false">
      <c r="A16" s="12" t="s">
        <v>507</v>
      </c>
    </row>
    <row r="18" customFormat="false" ht="26.85" hidden="false" customHeight="false" outlineLevel="0" collapsed="false">
      <c r="A18" s="2" t="s">
        <v>0</v>
      </c>
      <c r="B18" s="2" t="s">
        <v>1</v>
      </c>
      <c r="C18" s="2" t="s">
        <v>3</v>
      </c>
      <c r="D18" s="2" t="s">
        <v>508</v>
      </c>
      <c r="E18" s="2" t="s">
        <v>509</v>
      </c>
      <c r="F18" s="2" t="s">
        <v>510</v>
      </c>
      <c r="G18" s="2" t="s">
        <v>511</v>
      </c>
      <c r="H18" s="2" t="s">
        <v>374</v>
      </c>
    </row>
    <row r="19" customFormat="false" ht="15" hidden="false" customHeight="false" outlineLevel="0" collapsed="false">
      <c r="A19" s="3" t="n">
        <v>1916</v>
      </c>
      <c r="B19" s="3" t="s">
        <v>187</v>
      </c>
      <c r="C19" s="3" t="s">
        <v>188</v>
      </c>
      <c r="D19" s="3" t="n">
        <v>65</v>
      </c>
      <c r="E19" s="3" t="n">
        <v>63</v>
      </c>
      <c r="F19" s="3" t="n">
        <v>2</v>
      </c>
      <c r="G19" s="3" t="n">
        <v>0</v>
      </c>
      <c r="H19" s="3" t="s">
        <v>34</v>
      </c>
    </row>
    <row r="20" customFormat="false" ht="23.85" hidden="false" customHeight="false" outlineLevel="0" collapsed="false">
      <c r="A20" s="3" t="n">
        <v>1912</v>
      </c>
      <c r="B20" s="3" t="s">
        <v>162</v>
      </c>
      <c r="C20" s="3" t="s">
        <v>163</v>
      </c>
      <c r="D20" s="3" t="n">
        <v>60</v>
      </c>
      <c r="E20" s="3" t="n">
        <v>55</v>
      </c>
      <c r="F20" s="3" t="n">
        <v>5</v>
      </c>
      <c r="G20" s="3" t="n">
        <v>5</v>
      </c>
      <c r="H20" s="3" t="s">
        <v>31</v>
      </c>
    </row>
    <row r="21" customFormat="false" ht="23.85" hidden="false" customHeight="false" outlineLevel="0" collapsed="false">
      <c r="A21" s="3" t="n">
        <v>1925</v>
      </c>
      <c r="B21" s="3" t="s">
        <v>102</v>
      </c>
      <c r="C21" s="3" t="s">
        <v>341</v>
      </c>
      <c r="D21" s="3" t="n">
        <v>54</v>
      </c>
      <c r="E21" s="3" t="n">
        <v>54</v>
      </c>
      <c r="F21" s="3" t="n">
        <v>0</v>
      </c>
      <c r="G21" s="3" t="n">
        <v>6</v>
      </c>
      <c r="H21" s="3" t="s">
        <v>9</v>
      </c>
    </row>
    <row r="22" customFormat="false" ht="15" hidden="false" customHeight="false" outlineLevel="0" collapsed="false">
      <c r="A22" s="3" t="n">
        <v>1921</v>
      </c>
      <c r="B22" s="3" t="s">
        <v>23</v>
      </c>
      <c r="C22" s="3" t="s">
        <v>243</v>
      </c>
      <c r="D22" s="3" t="n">
        <v>44</v>
      </c>
      <c r="E22" s="3" t="n">
        <v>44</v>
      </c>
      <c r="F22" s="3" t="n">
        <v>0</v>
      </c>
      <c r="G22" s="3" t="n">
        <v>0</v>
      </c>
      <c r="H22" s="3" t="s">
        <v>9</v>
      </c>
    </row>
    <row r="23" customFormat="false" ht="15" hidden="false" customHeight="false" outlineLevel="0" collapsed="false">
      <c r="A23" s="3" t="n">
        <v>1924</v>
      </c>
      <c r="B23" s="3" t="s">
        <v>102</v>
      </c>
      <c r="C23" s="3" t="s">
        <v>311</v>
      </c>
      <c r="D23" s="3" t="n">
        <v>42</v>
      </c>
      <c r="E23" s="3" t="n">
        <v>41</v>
      </c>
      <c r="F23" s="3" t="n">
        <v>1</v>
      </c>
      <c r="G23" s="3" t="n">
        <v>0</v>
      </c>
      <c r="H23" s="3" t="s">
        <v>9</v>
      </c>
    </row>
    <row r="24" customFormat="false" ht="23.85" hidden="false" customHeight="false" outlineLevel="0" collapsed="false">
      <c r="A24" s="3" t="n">
        <v>1904</v>
      </c>
      <c r="B24" s="3" t="s">
        <v>7</v>
      </c>
      <c r="C24" s="3" t="s">
        <v>8</v>
      </c>
      <c r="D24" s="3" t="n">
        <v>41</v>
      </c>
      <c r="E24" s="3" t="n">
        <v>35</v>
      </c>
      <c r="F24" s="3" t="n">
        <v>6</v>
      </c>
      <c r="G24" s="3" t="n">
        <v>9</v>
      </c>
      <c r="H24" s="3" t="s">
        <v>9</v>
      </c>
    </row>
    <row r="25" customFormat="false" ht="15" hidden="false" customHeight="false" outlineLevel="0" collapsed="false">
      <c r="A25" s="3" t="n">
        <v>1912</v>
      </c>
      <c r="B25" s="3" t="s">
        <v>48</v>
      </c>
      <c r="C25" s="3" t="s">
        <v>157</v>
      </c>
      <c r="D25" s="3" t="n">
        <v>40</v>
      </c>
      <c r="E25" s="3" t="n">
        <v>39</v>
      </c>
      <c r="F25" s="3" t="n">
        <v>1</v>
      </c>
      <c r="G25" s="3" t="n">
        <v>0</v>
      </c>
      <c r="H25" s="3" t="s">
        <v>9</v>
      </c>
    </row>
    <row r="26" customFormat="false" ht="15" hidden="false" customHeight="false" outlineLevel="0" collapsed="false">
      <c r="A26" s="3" t="n">
        <v>1919</v>
      </c>
      <c r="B26" s="3" t="s">
        <v>210</v>
      </c>
      <c r="C26" s="3" t="s">
        <v>211</v>
      </c>
      <c r="D26" s="3" t="n">
        <v>34</v>
      </c>
      <c r="E26" s="3" t="n">
        <v>34</v>
      </c>
      <c r="F26" s="3" t="n">
        <v>0</v>
      </c>
      <c r="G26" s="3" t="n">
        <v>0</v>
      </c>
      <c r="H26" s="3" t="s">
        <v>13</v>
      </c>
    </row>
    <row r="27" customFormat="false" ht="15" hidden="false" customHeight="false" outlineLevel="0" collapsed="false">
      <c r="A27" s="3" t="n">
        <v>1907</v>
      </c>
      <c r="B27" s="3" t="s">
        <v>63</v>
      </c>
      <c r="C27" s="3" t="s">
        <v>64</v>
      </c>
      <c r="D27" s="3" t="n">
        <v>34</v>
      </c>
      <c r="E27" s="3" t="n">
        <v>27</v>
      </c>
      <c r="F27" s="3" t="n">
        <v>7</v>
      </c>
      <c r="G27" s="3" t="n">
        <v>0</v>
      </c>
      <c r="H27" s="3" t="s">
        <v>34</v>
      </c>
    </row>
    <row r="28" customFormat="false" ht="15" hidden="false" customHeight="false" outlineLevel="0" collapsed="false">
      <c r="A28" s="3" t="n">
        <v>1926</v>
      </c>
      <c r="B28" s="3" t="s">
        <v>102</v>
      </c>
      <c r="C28" s="3" t="s">
        <v>347</v>
      </c>
      <c r="D28" s="3" t="n">
        <v>34</v>
      </c>
      <c r="E28" s="3" t="n">
        <v>34</v>
      </c>
      <c r="F28" s="3" t="n">
        <v>0</v>
      </c>
      <c r="G28" s="3" t="n">
        <v>5</v>
      </c>
      <c r="H28" s="3" t="s">
        <v>13</v>
      </c>
    </row>
    <row r="29" customFormat="false" ht="15" hidden="false" customHeight="false" outlineLevel="0" collapsed="false">
      <c r="A29" s="3" t="n">
        <v>1913</v>
      </c>
      <c r="B29" s="3" t="s">
        <v>63</v>
      </c>
      <c r="C29" s="3" t="s">
        <v>173</v>
      </c>
      <c r="D29" s="3" t="n">
        <v>34</v>
      </c>
      <c r="E29" s="3" t="n">
        <v>30</v>
      </c>
      <c r="F29" s="3" t="n">
        <v>4</v>
      </c>
      <c r="G29" s="3" t="n">
        <v>0</v>
      </c>
      <c r="H29" s="3" t="s">
        <v>9</v>
      </c>
    </row>
    <row r="30" customFormat="false" ht="23.85" hidden="false" customHeight="false" outlineLevel="0" collapsed="false">
      <c r="A30" s="3" t="n">
        <v>1925</v>
      </c>
      <c r="B30" s="3" t="s">
        <v>316</v>
      </c>
      <c r="C30" s="3" t="s">
        <v>317</v>
      </c>
      <c r="D30" s="3" t="n">
        <v>32</v>
      </c>
      <c r="E30" s="3" t="n">
        <v>32</v>
      </c>
      <c r="F30" s="3" t="n">
        <v>0</v>
      </c>
      <c r="G30" s="3" t="n">
        <v>0</v>
      </c>
      <c r="H30" s="3" t="s">
        <v>9</v>
      </c>
    </row>
    <row r="31" customFormat="false" ht="23.85" hidden="false" customHeight="false" outlineLevel="0" collapsed="false">
      <c r="A31" s="3" t="n">
        <v>1913</v>
      </c>
      <c r="B31" s="3" t="s">
        <v>168</v>
      </c>
      <c r="C31" s="3" t="s">
        <v>176</v>
      </c>
      <c r="D31" s="3" t="n">
        <v>31</v>
      </c>
      <c r="E31" s="3" t="n">
        <v>31</v>
      </c>
      <c r="F31" s="3" t="n">
        <v>0</v>
      </c>
      <c r="G31" s="3" t="n">
        <v>1</v>
      </c>
      <c r="H31" s="3" t="s">
        <v>9</v>
      </c>
    </row>
    <row r="32" customFormat="false" ht="15" hidden="false" customHeight="false" outlineLevel="0" collapsed="false">
      <c r="A32" s="3" t="n">
        <v>1927</v>
      </c>
      <c r="B32" s="3" t="s">
        <v>102</v>
      </c>
      <c r="C32" s="3" t="s">
        <v>350</v>
      </c>
      <c r="D32" s="3" t="n">
        <v>30</v>
      </c>
      <c r="E32" s="3" t="n">
        <v>30</v>
      </c>
      <c r="F32" s="3" t="n">
        <v>0</v>
      </c>
      <c r="G32" s="3" t="n">
        <v>0</v>
      </c>
      <c r="H32" s="3" t="s">
        <v>34</v>
      </c>
    </row>
    <row r="33" customFormat="false" ht="23.85" hidden="false" customHeight="false" outlineLevel="0" collapsed="false">
      <c r="A33" s="3" t="n">
        <v>1920</v>
      </c>
      <c r="B33" s="3" t="s">
        <v>187</v>
      </c>
      <c r="C33" s="3" t="s">
        <v>225</v>
      </c>
      <c r="D33" s="3" t="n">
        <v>28</v>
      </c>
      <c r="E33" s="3" t="n">
        <v>28</v>
      </c>
      <c r="F33" s="3" t="n">
        <v>0</v>
      </c>
      <c r="G33" s="3" t="n">
        <v>0</v>
      </c>
      <c r="H33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2" t="s">
        <v>512</v>
      </c>
    </row>
    <row r="2" customFormat="false" ht="15" hidden="false" customHeight="false" outlineLevel="0" collapsed="false">
      <c r="A2" s="13" t="s">
        <v>513</v>
      </c>
    </row>
    <row r="4" customFormat="false" ht="52.2" hidden="false" customHeight="false" outlineLevel="0" collapsed="false">
      <c r="A4" s="2" t="s">
        <v>0</v>
      </c>
      <c r="B4" s="2" t="s">
        <v>1</v>
      </c>
      <c r="C4" s="2" t="s">
        <v>416</v>
      </c>
      <c r="D4" s="2" t="s">
        <v>417</v>
      </c>
      <c r="E4" s="2" t="s">
        <v>374</v>
      </c>
      <c r="F4" s="2" t="s">
        <v>514</v>
      </c>
      <c r="G4" s="2" t="s">
        <v>515</v>
      </c>
      <c r="H4" s="2" t="s">
        <v>516</v>
      </c>
    </row>
    <row r="5" customFormat="false" ht="46.25" hidden="false" customHeight="false" outlineLevel="0" collapsed="false">
      <c r="A5" s="3" t="n">
        <v>1924</v>
      </c>
      <c r="B5" s="3" t="s">
        <v>53</v>
      </c>
      <c r="C5" s="3" t="s">
        <v>304</v>
      </c>
      <c r="D5" s="3" t="s">
        <v>491</v>
      </c>
      <c r="E5" s="3" t="s">
        <v>13</v>
      </c>
      <c r="F5" s="15" t="n">
        <v>52</v>
      </c>
      <c r="G5" s="3" t="n">
        <v>52</v>
      </c>
      <c r="H5" s="3" t="s">
        <v>517</v>
      </c>
    </row>
    <row r="6" customFormat="false" ht="57.45" hidden="false" customHeight="false" outlineLevel="0" collapsed="false">
      <c r="A6" s="3" t="n">
        <v>1907</v>
      </c>
      <c r="B6" s="3" t="s">
        <v>53</v>
      </c>
      <c r="C6" s="3" t="s">
        <v>88</v>
      </c>
      <c r="D6" s="3" t="s">
        <v>518</v>
      </c>
      <c r="E6" s="3" t="s">
        <v>9</v>
      </c>
      <c r="F6" s="15" t="n">
        <v>50</v>
      </c>
      <c r="G6" s="3" t="n">
        <v>50</v>
      </c>
      <c r="H6" s="3" t="s">
        <v>519</v>
      </c>
    </row>
    <row r="7" customFormat="false" ht="46.25" hidden="false" customHeight="false" outlineLevel="0" collapsed="false">
      <c r="A7" s="3" t="n">
        <v>1924</v>
      </c>
      <c r="B7" s="3" t="s">
        <v>292</v>
      </c>
      <c r="C7" s="3" t="s">
        <v>293</v>
      </c>
      <c r="D7" s="3" t="s">
        <v>520</v>
      </c>
      <c r="E7" s="3" t="s">
        <v>9</v>
      </c>
      <c r="F7" s="15" t="n">
        <v>49</v>
      </c>
      <c r="G7" s="3" t="n">
        <v>49</v>
      </c>
      <c r="H7" s="3" t="s">
        <v>521</v>
      </c>
    </row>
    <row r="8" customFormat="false" ht="46.25" hidden="false" customHeight="false" outlineLevel="0" collapsed="false">
      <c r="A8" s="3" t="n">
        <v>1907</v>
      </c>
      <c r="B8" s="3" t="s">
        <v>48</v>
      </c>
      <c r="C8" s="3" t="s">
        <v>78</v>
      </c>
      <c r="D8" s="3" t="s">
        <v>433</v>
      </c>
      <c r="E8" s="3" t="s">
        <v>34</v>
      </c>
      <c r="F8" s="15" t="n">
        <v>48</v>
      </c>
      <c r="G8" s="3" t="n">
        <v>48</v>
      </c>
      <c r="H8" s="3" t="s">
        <v>522</v>
      </c>
    </row>
    <row r="9" customFormat="false" ht="46.25" hidden="false" customHeight="false" outlineLevel="0" collapsed="false">
      <c r="A9" s="3" t="n">
        <v>1906</v>
      </c>
      <c r="B9" s="3" t="s">
        <v>40</v>
      </c>
      <c r="C9" s="3" t="s">
        <v>41</v>
      </c>
      <c r="D9" s="3" t="s">
        <v>444</v>
      </c>
      <c r="E9" s="3" t="s">
        <v>13</v>
      </c>
      <c r="F9" s="15" t="n">
        <v>48</v>
      </c>
      <c r="G9" s="3" t="n">
        <v>48</v>
      </c>
      <c r="H9" s="3" t="s">
        <v>523</v>
      </c>
    </row>
    <row r="10" customFormat="false" ht="46.25" hidden="false" customHeight="false" outlineLevel="0" collapsed="false">
      <c r="A10" s="3" t="n">
        <v>1925</v>
      </c>
      <c r="B10" s="3" t="s">
        <v>53</v>
      </c>
      <c r="C10" s="3" t="s">
        <v>327</v>
      </c>
      <c r="D10" s="3" t="s">
        <v>456</v>
      </c>
      <c r="E10" s="3" t="s">
        <v>9</v>
      </c>
      <c r="F10" s="15" t="n">
        <v>47</v>
      </c>
      <c r="G10" s="3" t="n">
        <v>47</v>
      </c>
      <c r="H10" s="3" t="s">
        <v>524</v>
      </c>
    </row>
    <row r="11" customFormat="false" ht="46.25" hidden="false" customHeight="false" outlineLevel="0" collapsed="false">
      <c r="A11" s="3" t="n">
        <v>1912</v>
      </c>
      <c r="B11" s="3" t="s">
        <v>113</v>
      </c>
      <c r="C11" s="3" t="s">
        <v>161</v>
      </c>
      <c r="D11" s="3" t="s">
        <v>525</v>
      </c>
      <c r="E11" s="3" t="s">
        <v>9</v>
      </c>
      <c r="F11" s="15" t="n">
        <v>47</v>
      </c>
      <c r="G11" s="3" t="n">
        <v>47</v>
      </c>
      <c r="H11" s="3" t="s">
        <v>526</v>
      </c>
    </row>
    <row r="12" customFormat="false" ht="46.25" hidden="false" customHeight="false" outlineLevel="0" collapsed="false">
      <c r="A12" s="3" t="n">
        <v>1907</v>
      </c>
      <c r="B12" s="3" t="s">
        <v>7</v>
      </c>
      <c r="C12" s="3" t="s">
        <v>66</v>
      </c>
      <c r="D12" s="3" t="s">
        <v>527</v>
      </c>
      <c r="E12" s="3" t="s">
        <v>13</v>
      </c>
      <c r="F12" s="15" t="n">
        <v>47</v>
      </c>
      <c r="G12" s="3" t="n">
        <v>47</v>
      </c>
      <c r="H12" s="3" t="s">
        <v>528</v>
      </c>
    </row>
    <row r="13" customFormat="false" ht="57.45" hidden="false" customHeight="false" outlineLevel="0" collapsed="false">
      <c r="A13" s="3" t="n">
        <v>1905</v>
      </c>
      <c r="B13" s="3" t="s">
        <v>15</v>
      </c>
      <c r="C13" s="3" t="s">
        <v>16</v>
      </c>
      <c r="D13" s="3" t="s">
        <v>529</v>
      </c>
      <c r="E13" s="3" t="s">
        <v>9</v>
      </c>
      <c r="F13" s="15" t="n">
        <v>47</v>
      </c>
      <c r="G13" s="3" t="n">
        <v>47</v>
      </c>
      <c r="H13" s="3" t="s">
        <v>530</v>
      </c>
    </row>
    <row r="14" customFormat="false" ht="57.45" hidden="false" customHeight="false" outlineLevel="0" collapsed="false">
      <c r="A14" s="3" t="n">
        <v>1924</v>
      </c>
      <c r="B14" s="3" t="s">
        <v>309</v>
      </c>
      <c r="C14" s="3" t="s">
        <v>310</v>
      </c>
      <c r="D14" s="3" t="s">
        <v>482</v>
      </c>
      <c r="E14" s="3" t="s">
        <v>178</v>
      </c>
      <c r="F14" s="15" t="n">
        <v>45</v>
      </c>
      <c r="G14" s="3" t="n">
        <v>45</v>
      </c>
      <c r="H14" s="3" t="s">
        <v>531</v>
      </c>
    </row>
    <row r="15" customFormat="false" ht="57.45" hidden="false" customHeight="false" outlineLevel="0" collapsed="false">
      <c r="A15" s="3" t="n">
        <v>1922</v>
      </c>
      <c r="B15" s="3" t="s">
        <v>212</v>
      </c>
      <c r="C15" s="3" t="s">
        <v>261</v>
      </c>
      <c r="D15" s="3" t="s">
        <v>453</v>
      </c>
      <c r="E15" s="3" t="s">
        <v>13</v>
      </c>
      <c r="F15" s="15" t="n">
        <v>45</v>
      </c>
      <c r="G15" s="3" t="n">
        <v>45</v>
      </c>
      <c r="H15" s="3" t="s">
        <v>532</v>
      </c>
    </row>
    <row r="16" customFormat="false" ht="57.45" hidden="false" customHeight="false" outlineLevel="0" collapsed="false">
      <c r="A16" s="3" t="n">
        <v>1907</v>
      </c>
      <c r="B16" s="3" t="s">
        <v>75</v>
      </c>
      <c r="C16" s="3" t="s">
        <v>76</v>
      </c>
      <c r="D16" s="3" t="s">
        <v>456</v>
      </c>
      <c r="E16" s="3" t="s">
        <v>13</v>
      </c>
      <c r="F16" s="15" t="n">
        <v>45</v>
      </c>
      <c r="G16" s="3" t="n">
        <v>45</v>
      </c>
      <c r="H16" s="3" t="s">
        <v>531</v>
      </c>
    </row>
    <row r="17" customFormat="false" ht="57.45" hidden="false" customHeight="false" outlineLevel="0" collapsed="false">
      <c r="A17" s="3" t="n">
        <v>1925</v>
      </c>
      <c r="B17" s="3" t="s">
        <v>23</v>
      </c>
      <c r="C17" s="3" t="s">
        <v>330</v>
      </c>
      <c r="D17" s="3" t="s">
        <v>456</v>
      </c>
      <c r="E17" s="3" t="s">
        <v>9</v>
      </c>
      <c r="F17" s="15" t="n">
        <v>45</v>
      </c>
      <c r="G17" s="3" t="n">
        <v>45</v>
      </c>
      <c r="H17" s="3" t="s">
        <v>531</v>
      </c>
    </row>
    <row r="18" customFormat="false" ht="57.45" hidden="false" customHeight="false" outlineLevel="0" collapsed="false">
      <c r="A18" s="3" t="n">
        <v>1925</v>
      </c>
      <c r="B18" s="3" t="s">
        <v>23</v>
      </c>
      <c r="C18" s="3" t="s">
        <v>329</v>
      </c>
      <c r="D18" s="3" t="s">
        <v>456</v>
      </c>
      <c r="E18" s="3" t="s">
        <v>13</v>
      </c>
      <c r="F18" s="15" t="n">
        <v>45</v>
      </c>
      <c r="G18" s="3" t="n">
        <v>45</v>
      </c>
      <c r="H18" s="3" t="s">
        <v>531</v>
      </c>
    </row>
    <row r="19" customFormat="false" ht="35.05" hidden="false" customHeight="false" outlineLevel="0" collapsed="false">
      <c r="A19" s="3" t="n">
        <v>1919</v>
      </c>
      <c r="B19" s="3" t="s">
        <v>23</v>
      </c>
      <c r="C19" s="3" t="s">
        <v>211</v>
      </c>
      <c r="D19" s="3" t="s">
        <v>436</v>
      </c>
      <c r="E19" s="3" t="s">
        <v>13</v>
      </c>
      <c r="F19" s="15" t="n">
        <v>44</v>
      </c>
      <c r="G19" s="3" t="n">
        <v>44</v>
      </c>
      <c r="H19" s="3" t="s">
        <v>533</v>
      </c>
    </row>
    <row r="20" customFormat="false" ht="57.45" hidden="false" customHeight="false" outlineLevel="0" collapsed="false">
      <c r="A20" s="3" t="n">
        <v>1907</v>
      </c>
      <c r="B20" s="3" t="s">
        <v>57</v>
      </c>
      <c r="C20" s="3" t="s">
        <v>58</v>
      </c>
      <c r="D20" s="3" t="s">
        <v>534</v>
      </c>
      <c r="E20" s="3" t="s">
        <v>9</v>
      </c>
      <c r="F20" s="15" t="n">
        <v>43</v>
      </c>
      <c r="G20" s="3" t="n">
        <v>43</v>
      </c>
      <c r="H20" s="3" t="s">
        <v>535</v>
      </c>
    </row>
    <row r="21" customFormat="false" ht="57.45" hidden="false" customHeight="false" outlineLevel="0" collapsed="false">
      <c r="A21" s="3" t="n">
        <v>1922</v>
      </c>
      <c r="B21" s="3" t="s">
        <v>7</v>
      </c>
      <c r="C21" s="3" t="s">
        <v>253</v>
      </c>
      <c r="D21" s="3" t="s">
        <v>453</v>
      </c>
      <c r="E21" s="3" t="s">
        <v>13</v>
      </c>
      <c r="F21" s="15" t="n">
        <v>43</v>
      </c>
      <c r="G21" s="3" t="n">
        <v>43</v>
      </c>
      <c r="H21" s="3" t="s">
        <v>536</v>
      </c>
    </row>
    <row r="22" customFormat="false" ht="35.05" hidden="false" customHeight="false" outlineLevel="0" collapsed="false">
      <c r="A22" s="3" t="n">
        <v>1912</v>
      </c>
      <c r="B22" s="3" t="s">
        <v>113</v>
      </c>
      <c r="C22" s="3" t="s">
        <v>161</v>
      </c>
      <c r="D22" s="3" t="s">
        <v>447</v>
      </c>
      <c r="E22" s="3" t="s">
        <v>13</v>
      </c>
      <c r="F22" s="15" t="n">
        <v>42</v>
      </c>
      <c r="G22" s="3" t="n">
        <v>42</v>
      </c>
      <c r="H22" s="3" t="s">
        <v>537</v>
      </c>
    </row>
    <row r="23" customFormat="false" ht="46.25" hidden="false" customHeight="false" outlineLevel="0" collapsed="false">
      <c r="A23" s="3" t="n">
        <v>1912</v>
      </c>
      <c r="B23" s="3" t="s">
        <v>159</v>
      </c>
      <c r="C23" s="3" t="s">
        <v>160</v>
      </c>
      <c r="D23" s="3" t="s">
        <v>450</v>
      </c>
      <c r="E23" s="3" t="s">
        <v>13</v>
      </c>
      <c r="F23" s="15" t="n">
        <v>42</v>
      </c>
      <c r="G23" s="3" t="n">
        <v>42</v>
      </c>
      <c r="H23" s="3" t="s">
        <v>538</v>
      </c>
    </row>
    <row r="24" customFormat="false" ht="35.05" hidden="false" customHeight="false" outlineLevel="0" collapsed="false">
      <c r="A24" s="3" t="n">
        <v>1907</v>
      </c>
      <c r="B24" s="3" t="s">
        <v>48</v>
      </c>
      <c r="C24" s="3" t="s">
        <v>77</v>
      </c>
      <c r="D24" s="3" t="s">
        <v>539</v>
      </c>
      <c r="E24" s="3" t="s">
        <v>9</v>
      </c>
      <c r="F24" s="15" t="n">
        <v>40</v>
      </c>
      <c r="G24" s="3" t="n">
        <v>40</v>
      </c>
      <c r="H24" s="3" t="s">
        <v>540</v>
      </c>
    </row>
    <row r="25" customFormat="false" ht="35.05" hidden="false" customHeight="false" outlineLevel="0" collapsed="false">
      <c r="A25" s="3" t="n">
        <v>1924</v>
      </c>
      <c r="B25" s="3" t="s">
        <v>278</v>
      </c>
      <c r="C25" s="3" t="s">
        <v>299</v>
      </c>
      <c r="D25" s="3" t="s">
        <v>479</v>
      </c>
      <c r="E25" s="3" t="s">
        <v>178</v>
      </c>
      <c r="F25" s="15" t="n">
        <v>36</v>
      </c>
      <c r="G25" s="3" t="n">
        <v>36</v>
      </c>
      <c r="H25" s="3" t="s">
        <v>541</v>
      </c>
    </row>
    <row r="26" customFormat="false" ht="46.25" hidden="false" customHeight="false" outlineLevel="0" collapsed="false">
      <c r="A26" s="3" t="n">
        <v>1914</v>
      </c>
      <c r="B26" s="3" t="s">
        <v>184</v>
      </c>
      <c r="C26" s="3" t="s">
        <v>185</v>
      </c>
      <c r="D26" s="3" t="s">
        <v>476</v>
      </c>
      <c r="E26" s="3" t="s">
        <v>178</v>
      </c>
      <c r="F26" s="15" t="n">
        <v>35</v>
      </c>
      <c r="G26" s="3" t="n">
        <v>35</v>
      </c>
      <c r="H26" s="3" t="s">
        <v>542</v>
      </c>
    </row>
    <row r="27" customFormat="false" ht="46.25" hidden="false" customHeight="false" outlineLevel="0" collapsed="false">
      <c r="A27" s="3" t="n">
        <v>1923</v>
      </c>
      <c r="B27" s="3" t="s">
        <v>289</v>
      </c>
      <c r="C27" s="3" t="s">
        <v>290</v>
      </c>
      <c r="D27" s="3" t="s">
        <v>543</v>
      </c>
      <c r="E27" s="3" t="s">
        <v>9</v>
      </c>
      <c r="F27" s="15" t="n">
        <v>33</v>
      </c>
      <c r="G27" s="3" t="n">
        <v>33</v>
      </c>
      <c r="H27" s="3" t="s">
        <v>544</v>
      </c>
    </row>
    <row r="28" customFormat="false" ht="57.45" hidden="false" customHeight="false" outlineLevel="0" collapsed="false">
      <c r="A28" s="3" t="n">
        <v>1930</v>
      </c>
      <c r="B28" s="3" t="s">
        <v>365</v>
      </c>
      <c r="C28" s="3" t="s">
        <v>366</v>
      </c>
      <c r="D28" s="3" t="s">
        <v>473</v>
      </c>
      <c r="E28" s="3" t="s">
        <v>34</v>
      </c>
      <c r="F28" s="15" t="n">
        <v>24</v>
      </c>
      <c r="G28" s="3" t="n">
        <v>24</v>
      </c>
      <c r="H28" s="3" t="s">
        <v>545</v>
      </c>
    </row>
    <row r="29" customFormat="false" ht="35.05" hidden="false" customHeight="false" outlineLevel="0" collapsed="false">
      <c r="A29" s="3" t="n">
        <v>1907</v>
      </c>
      <c r="B29" s="3" t="s">
        <v>26</v>
      </c>
      <c r="C29" s="3" t="s">
        <v>106</v>
      </c>
      <c r="D29" s="3" t="s">
        <v>427</v>
      </c>
      <c r="E29" s="3" t="s">
        <v>13</v>
      </c>
      <c r="F29" s="15" t="n">
        <v>23</v>
      </c>
      <c r="G29" s="3" t="n">
        <v>23</v>
      </c>
      <c r="H29" s="3" t="s">
        <v>546</v>
      </c>
    </row>
    <row r="30" customFormat="false" ht="46.25" hidden="false" customHeight="false" outlineLevel="0" collapsed="false">
      <c r="A30" s="3" t="n">
        <v>1909</v>
      </c>
      <c r="B30" s="3" t="s">
        <v>119</v>
      </c>
      <c r="C30" s="3" t="s">
        <v>120</v>
      </c>
      <c r="D30" s="3" t="s">
        <v>547</v>
      </c>
      <c r="E30" s="3" t="s">
        <v>34</v>
      </c>
      <c r="F30" s="15" t="n">
        <v>17</v>
      </c>
      <c r="G30" s="3" t="n">
        <v>17</v>
      </c>
      <c r="H30" s="3" t="s">
        <v>548</v>
      </c>
    </row>
    <row r="31" customFormat="false" ht="46.25" hidden="false" customHeight="false" outlineLevel="0" collapsed="false">
      <c r="A31" s="3" t="n">
        <v>1930</v>
      </c>
      <c r="B31" s="3" t="s">
        <v>102</v>
      </c>
      <c r="C31" s="3" t="s">
        <v>371</v>
      </c>
      <c r="D31" s="3" t="s">
        <v>525</v>
      </c>
      <c r="E31" s="3" t="s">
        <v>9</v>
      </c>
      <c r="F31" s="15" t="n">
        <v>17</v>
      </c>
      <c r="G31" s="3" t="n">
        <v>17</v>
      </c>
      <c r="H31" s="3" t="s">
        <v>549</v>
      </c>
    </row>
    <row r="32" customFormat="false" ht="46.25" hidden="false" customHeight="false" outlineLevel="0" collapsed="false">
      <c r="A32" s="3" t="n">
        <v>1905</v>
      </c>
      <c r="B32" s="3" t="s">
        <v>27</v>
      </c>
      <c r="C32" s="3" t="s">
        <v>28</v>
      </c>
      <c r="D32" s="3" t="s">
        <v>550</v>
      </c>
      <c r="E32" s="3" t="s">
        <v>9</v>
      </c>
      <c r="F32" s="15" t="n">
        <v>17</v>
      </c>
      <c r="G32" s="3" t="n">
        <v>17</v>
      </c>
      <c r="H32" s="3" t="s">
        <v>551</v>
      </c>
    </row>
    <row r="33" customFormat="false" ht="57.45" hidden="false" customHeight="false" outlineLevel="0" collapsed="false">
      <c r="A33" s="3" t="n">
        <v>1905</v>
      </c>
      <c r="B33" s="3" t="s">
        <v>11</v>
      </c>
      <c r="C33" s="3" t="s">
        <v>12</v>
      </c>
      <c r="D33" s="3" t="s">
        <v>468</v>
      </c>
      <c r="E33" s="3" t="s">
        <v>13</v>
      </c>
      <c r="F33" s="15" t="n">
        <v>17</v>
      </c>
      <c r="G33" s="3" t="n">
        <v>17</v>
      </c>
      <c r="H33" s="3" t="s">
        <v>552</v>
      </c>
    </row>
    <row r="34" customFormat="false" ht="35.05" hidden="false" customHeight="false" outlineLevel="0" collapsed="false">
      <c r="A34" s="3" t="n">
        <v>1922</v>
      </c>
      <c r="B34" s="3" t="s">
        <v>254</v>
      </c>
      <c r="C34" s="3" t="s">
        <v>255</v>
      </c>
      <c r="D34" s="3" t="s">
        <v>553</v>
      </c>
      <c r="E34" s="3" t="s">
        <v>9</v>
      </c>
      <c r="F34" s="15" t="n">
        <v>13</v>
      </c>
      <c r="G34" s="3" t="n">
        <v>13</v>
      </c>
      <c r="H34" s="3" t="s">
        <v>554</v>
      </c>
    </row>
    <row r="35" customFormat="false" ht="57.45" hidden="false" customHeight="false" outlineLevel="0" collapsed="false">
      <c r="A35" s="3" t="n">
        <v>1917</v>
      </c>
      <c r="B35" s="3" t="s">
        <v>53</v>
      </c>
      <c r="C35" s="3" t="s">
        <v>203</v>
      </c>
      <c r="D35" s="3" t="s">
        <v>436</v>
      </c>
      <c r="E35" s="3" t="s">
        <v>13</v>
      </c>
      <c r="F35" s="15" t="n">
        <v>10</v>
      </c>
      <c r="G35" s="3" t="n">
        <v>10</v>
      </c>
      <c r="H35" s="3" t="s">
        <v>555</v>
      </c>
    </row>
    <row r="36" customFormat="false" ht="57.45" hidden="false" customHeight="false" outlineLevel="0" collapsed="false">
      <c r="A36" s="3" t="n">
        <v>1907</v>
      </c>
      <c r="B36" s="3" t="s">
        <v>23</v>
      </c>
      <c r="C36" s="3" t="s">
        <v>94</v>
      </c>
      <c r="D36" s="3" t="s">
        <v>436</v>
      </c>
      <c r="E36" s="3" t="s">
        <v>34</v>
      </c>
      <c r="F36" s="15" t="n">
        <v>10</v>
      </c>
      <c r="G36" s="3" t="n">
        <v>10</v>
      </c>
      <c r="H36" s="3" t="s">
        <v>555</v>
      </c>
    </row>
    <row r="37" customFormat="false" ht="57.45" hidden="false" customHeight="false" outlineLevel="0" collapsed="false">
      <c r="A37" s="3" t="n">
        <v>1930</v>
      </c>
      <c r="B37" s="3" t="s">
        <v>23</v>
      </c>
      <c r="C37" s="3" t="s">
        <v>364</v>
      </c>
      <c r="D37" s="3" t="s">
        <v>556</v>
      </c>
      <c r="E37" s="3" t="s">
        <v>13</v>
      </c>
      <c r="F37" s="15" t="n">
        <v>9</v>
      </c>
      <c r="G37" s="3" t="n">
        <v>9</v>
      </c>
      <c r="H37" s="3" t="s">
        <v>557</v>
      </c>
    </row>
    <row r="38" customFormat="false" ht="46.25" hidden="false" customHeight="false" outlineLevel="0" collapsed="false">
      <c r="A38" s="3" t="n">
        <v>1910</v>
      </c>
      <c r="B38" s="3" t="s">
        <v>7</v>
      </c>
      <c r="C38" s="3" t="s">
        <v>133</v>
      </c>
      <c r="D38" s="3" t="s">
        <v>525</v>
      </c>
      <c r="E38" s="3" t="s">
        <v>9</v>
      </c>
      <c r="F38" s="15" t="n">
        <v>8</v>
      </c>
      <c r="G38" s="3" t="n">
        <v>8</v>
      </c>
      <c r="H38" s="3" t="s">
        <v>558</v>
      </c>
    </row>
    <row r="39" customFormat="false" ht="57.45" hidden="false" customHeight="false" outlineLevel="0" collapsed="false">
      <c r="A39" s="3" t="n">
        <v>1907</v>
      </c>
      <c r="B39" s="3" t="s">
        <v>7</v>
      </c>
      <c r="C39" s="3" t="s">
        <v>69</v>
      </c>
      <c r="D39" s="3" t="s">
        <v>447</v>
      </c>
      <c r="E39" s="3" t="s">
        <v>13</v>
      </c>
      <c r="F39" s="15" t="n">
        <v>7</v>
      </c>
      <c r="G39" s="3" t="n">
        <v>7</v>
      </c>
      <c r="H39" s="3" t="s">
        <v>559</v>
      </c>
    </row>
    <row r="40" customFormat="false" ht="57.45" hidden="false" customHeight="false" outlineLevel="0" collapsed="false">
      <c r="A40" s="3" t="n">
        <v>1907</v>
      </c>
      <c r="B40" s="3" t="s">
        <v>82</v>
      </c>
      <c r="C40" s="3" t="s">
        <v>83</v>
      </c>
      <c r="D40" s="3" t="s">
        <v>453</v>
      </c>
      <c r="E40" s="3" t="s">
        <v>34</v>
      </c>
      <c r="F40" s="15" t="n">
        <v>7</v>
      </c>
      <c r="G40" s="3" t="n">
        <v>7</v>
      </c>
      <c r="H40" s="3" t="s">
        <v>559</v>
      </c>
    </row>
    <row r="41" customFormat="false" ht="46.25" hidden="false" customHeight="false" outlineLevel="0" collapsed="false">
      <c r="A41" s="3" t="n">
        <v>1907</v>
      </c>
      <c r="B41" s="3" t="s">
        <v>59</v>
      </c>
      <c r="C41" s="3" t="s">
        <v>60</v>
      </c>
      <c r="D41" s="3" t="s">
        <v>488</v>
      </c>
      <c r="E41" s="3" t="s">
        <v>13</v>
      </c>
      <c r="F41" s="15" t="n">
        <v>7</v>
      </c>
      <c r="G41" s="3" t="n">
        <v>7</v>
      </c>
      <c r="H41" s="3" t="s">
        <v>560</v>
      </c>
    </row>
    <row r="42" customFormat="false" ht="35.05" hidden="false" customHeight="false" outlineLevel="0" collapsed="false">
      <c r="A42" s="3" t="n">
        <v>1905</v>
      </c>
      <c r="B42" s="3" t="s">
        <v>18</v>
      </c>
      <c r="C42" s="3" t="s">
        <v>19</v>
      </c>
      <c r="D42" s="3" t="s">
        <v>561</v>
      </c>
      <c r="E42" s="3" t="s">
        <v>9</v>
      </c>
      <c r="F42" s="15" t="n">
        <v>6</v>
      </c>
      <c r="G42" s="3" t="n">
        <v>6</v>
      </c>
      <c r="H42" s="3" t="s">
        <v>562</v>
      </c>
    </row>
    <row r="43" customFormat="false" ht="23.85" hidden="false" customHeight="false" outlineLevel="0" collapsed="false">
      <c r="A43" s="3" t="n">
        <v>1917</v>
      </c>
      <c r="B43" s="3" t="s">
        <v>23</v>
      </c>
      <c r="C43" s="3" t="s">
        <v>163</v>
      </c>
      <c r="D43" s="3" t="s">
        <v>439</v>
      </c>
      <c r="E43" s="3" t="s">
        <v>34</v>
      </c>
      <c r="F43" s="15" t="n">
        <v>2</v>
      </c>
      <c r="G43" s="3" t="n">
        <v>2</v>
      </c>
      <c r="H43" s="3" t="s">
        <v>563</v>
      </c>
    </row>
    <row r="44" customFormat="false" ht="23.85" hidden="false" customHeight="false" outlineLevel="0" collapsed="false">
      <c r="A44" s="3" t="n">
        <v>1917</v>
      </c>
      <c r="B44" s="3" t="s">
        <v>23</v>
      </c>
      <c r="C44" s="3" t="s">
        <v>201</v>
      </c>
      <c r="D44" s="3" t="s">
        <v>476</v>
      </c>
      <c r="E44" s="3" t="s">
        <v>9</v>
      </c>
      <c r="F44" s="15" t="n">
        <v>1</v>
      </c>
      <c r="G44" s="3" t="n">
        <v>1</v>
      </c>
      <c r="H44" s="3" t="s"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3" min="3" style="0" width="40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9" min="8" style="0" width="9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4" min="13" style="0" width="13"/>
    <col collapsed="false" customWidth="true" hidden="false" outlineLevel="0" max="15" min="15" style="0" width="11"/>
    <col collapsed="false" customWidth="true" hidden="false" outlineLevel="0" max="16" min="16" style="0" width="22"/>
  </cols>
  <sheetData>
    <row r="1" customFormat="false" ht="26.85" hidden="false" customHeight="false" outlineLevel="0" collapsed="false">
      <c r="A1" s="2" t="s">
        <v>0</v>
      </c>
      <c r="B1" s="2" t="s">
        <v>1</v>
      </c>
      <c r="C1" s="2" t="s">
        <v>3</v>
      </c>
      <c r="D1" s="2" t="s">
        <v>417</v>
      </c>
      <c r="E1" s="2" t="s">
        <v>565</v>
      </c>
      <c r="F1" s="2" t="s">
        <v>5</v>
      </c>
      <c r="G1" s="2" t="s">
        <v>566</v>
      </c>
      <c r="H1" s="2" t="s">
        <v>508</v>
      </c>
      <c r="I1" s="2" t="s">
        <v>567</v>
      </c>
      <c r="J1" s="2" t="s">
        <v>510</v>
      </c>
      <c r="K1" s="2" t="s">
        <v>568</v>
      </c>
      <c r="L1" s="2" t="s">
        <v>569</v>
      </c>
      <c r="M1" s="2" t="s">
        <v>570</v>
      </c>
      <c r="N1" s="2" t="s">
        <v>571</v>
      </c>
      <c r="O1" s="2" t="s">
        <v>572</v>
      </c>
      <c r="P1" s="2" t="s">
        <v>573</v>
      </c>
    </row>
    <row r="2" customFormat="false" ht="23.85" hidden="false" customHeight="false" outlineLevel="0" collapsed="false">
      <c r="A2" s="3" t="n">
        <v>1930</v>
      </c>
      <c r="B2" s="3" t="s">
        <v>353</v>
      </c>
      <c r="C2" s="3" t="s">
        <v>354</v>
      </c>
      <c r="D2" s="3" t="s">
        <v>473</v>
      </c>
      <c r="E2" s="3" t="s">
        <v>574</v>
      </c>
      <c r="F2" s="3" t="s">
        <v>31</v>
      </c>
      <c r="G2" s="3" t="s">
        <v>404</v>
      </c>
      <c r="H2" s="3" t="n">
        <v>3</v>
      </c>
      <c r="I2" s="3" t="n">
        <v>3</v>
      </c>
      <c r="J2" s="3" t="n">
        <v>0</v>
      </c>
      <c r="K2" s="3" t="n">
        <v>3</v>
      </c>
      <c r="L2" s="3" t="n">
        <v>49</v>
      </c>
      <c r="M2" s="3" t="n">
        <v>24</v>
      </c>
      <c r="N2" s="3" t="n">
        <v>24</v>
      </c>
      <c r="O2" s="3"/>
      <c r="P2" s="3" t="s">
        <v>575</v>
      </c>
    </row>
    <row r="3" customFormat="false" ht="23.85" hidden="false" customHeight="false" outlineLevel="0" collapsed="false">
      <c r="A3" s="3" t="n">
        <v>1930</v>
      </c>
      <c r="B3" s="3" t="s">
        <v>359</v>
      </c>
      <c r="C3" s="3" t="s">
        <v>360</v>
      </c>
      <c r="D3" s="3" t="s">
        <v>483</v>
      </c>
      <c r="E3" s="3" t="s">
        <v>576</v>
      </c>
      <c r="F3" s="3" t="s">
        <v>31</v>
      </c>
      <c r="G3" s="3" t="s">
        <v>404</v>
      </c>
      <c r="H3" s="3" t="n">
        <v>2</v>
      </c>
      <c r="I3" s="3" t="n">
        <v>2</v>
      </c>
      <c r="J3" s="3" t="n">
        <v>0</v>
      </c>
      <c r="K3" s="3" t="n">
        <v>1</v>
      </c>
      <c r="L3" s="3" t="n">
        <v>49</v>
      </c>
      <c r="M3" s="3" t="n">
        <v>24</v>
      </c>
      <c r="N3" s="3" t="n">
        <v>24</v>
      </c>
      <c r="O3" s="3"/>
      <c r="P3" s="3" t="s">
        <v>577</v>
      </c>
    </row>
    <row r="4" customFormat="false" ht="35.05" hidden="false" customHeight="false" outlineLevel="0" collapsed="false">
      <c r="A4" s="3" t="n">
        <v>1930</v>
      </c>
      <c r="B4" s="3" t="s">
        <v>361</v>
      </c>
      <c r="C4" s="3" t="s">
        <v>362</v>
      </c>
      <c r="D4" s="3" t="s">
        <v>473</v>
      </c>
      <c r="E4" s="3" t="s">
        <v>578</v>
      </c>
      <c r="F4" s="3" t="s">
        <v>31</v>
      </c>
      <c r="G4" s="3" t="s">
        <v>404</v>
      </c>
      <c r="H4" s="3" t="n">
        <v>5</v>
      </c>
      <c r="I4" s="3" t="n">
        <v>5</v>
      </c>
      <c r="J4" s="3" t="n">
        <v>0</v>
      </c>
      <c r="K4" s="3" t="n">
        <v>3</v>
      </c>
      <c r="L4" s="3" t="n">
        <v>49</v>
      </c>
      <c r="M4" s="3" t="n">
        <v>24</v>
      </c>
      <c r="N4" s="3" t="n">
        <v>24</v>
      </c>
      <c r="O4" s="3"/>
      <c r="P4" s="3" t="s">
        <v>579</v>
      </c>
    </row>
    <row r="5" customFormat="false" ht="23.85" hidden="false" customHeight="false" outlineLevel="0" collapsed="false">
      <c r="A5" s="15" t="n">
        <v>1930</v>
      </c>
      <c r="B5" s="15" t="s">
        <v>23</v>
      </c>
      <c r="C5" s="15" t="s">
        <v>364</v>
      </c>
      <c r="D5" s="15" t="s">
        <v>556</v>
      </c>
      <c r="E5" s="15" t="s">
        <v>580</v>
      </c>
      <c r="F5" s="15" t="s">
        <v>13</v>
      </c>
      <c r="G5" s="15" t="s">
        <v>400</v>
      </c>
      <c r="H5" s="15" t="n">
        <v>7</v>
      </c>
      <c r="I5" s="15" t="n">
        <v>7</v>
      </c>
      <c r="J5" s="15" t="n">
        <v>0</v>
      </c>
      <c r="K5" s="15" t="n">
        <v>0</v>
      </c>
      <c r="L5" s="15" t="n">
        <v>29</v>
      </c>
      <c r="M5" s="15" t="n">
        <v>9</v>
      </c>
      <c r="N5" s="15" t="n">
        <v>9</v>
      </c>
      <c r="O5" s="15" t="s">
        <v>581</v>
      </c>
      <c r="P5" s="15" t="s">
        <v>582</v>
      </c>
    </row>
    <row r="6" customFormat="false" ht="35.05" hidden="false" customHeight="false" outlineLevel="0" collapsed="false">
      <c r="A6" s="3" t="n">
        <v>1930</v>
      </c>
      <c r="B6" s="3" t="s">
        <v>356</v>
      </c>
      <c r="C6" s="3" t="s">
        <v>357</v>
      </c>
      <c r="D6" s="3" t="s">
        <v>439</v>
      </c>
      <c r="E6" s="3" t="s">
        <v>580</v>
      </c>
      <c r="F6" s="3" t="s">
        <v>9</v>
      </c>
      <c r="G6" s="3" t="s">
        <v>402</v>
      </c>
      <c r="H6" s="3" t="n">
        <v>5</v>
      </c>
      <c r="I6" s="3" t="n">
        <v>5</v>
      </c>
      <c r="J6" s="3" t="n">
        <v>0</v>
      </c>
      <c r="K6" s="3" t="n">
        <v>1</v>
      </c>
      <c r="L6" s="3" t="n">
        <v>24</v>
      </c>
      <c r="M6" s="3" t="n">
        <v>2</v>
      </c>
      <c r="N6" s="3" t="n">
        <v>2</v>
      </c>
      <c r="O6" s="3"/>
      <c r="P6" s="3" t="s">
        <v>583</v>
      </c>
    </row>
    <row r="7" customFormat="false" ht="57.45" hidden="false" customHeight="false" outlineLevel="0" collapsed="false">
      <c r="A7" s="15" t="n">
        <v>1930</v>
      </c>
      <c r="B7" s="15" t="s">
        <v>365</v>
      </c>
      <c r="C7" s="15" t="s">
        <v>366</v>
      </c>
      <c r="D7" s="15" t="s">
        <v>473</v>
      </c>
      <c r="E7" s="15" t="s">
        <v>578</v>
      </c>
      <c r="F7" s="15" t="s">
        <v>34</v>
      </c>
      <c r="G7" s="15" t="s">
        <v>404</v>
      </c>
      <c r="H7" s="15" t="n">
        <v>1</v>
      </c>
      <c r="I7" s="15" t="n">
        <v>1</v>
      </c>
      <c r="J7" s="15" t="n">
        <v>0</v>
      </c>
      <c r="K7" s="15" t="n">
        <v>0</v>
      </c>
      <c r="L7" s="15" t="n">
        <v>49</v>
      </c>
      <c r="M7" s="15" t="n">
        <v>24</v>
      </c>
      <c r="N7" s="15" t="n">
        <v>24</v>
      </c>
      <c r="O7" s="15" t="s">
        <v>581</v>
      </c>
      <c r="P7" s="15" t="s">
        <v>584</v>
      </c>
    </row>
    <row r="8" customFormat="false" ht="35.05" hidden="false" customHeight="false" outlineLevel="0" collapsed="false">
      <c r="A8" s="3" t="n">
        <v>1930</v>
      </c>
      <c r="B8" s="3" t="s">
        <v>368</v>
      </c>
      <c r="C8" s="3" t="s">
        <v>369</v>
      </c>
      <c r="D8" s="3" t="s">
        <v>585</v>
      </c>
      <c r="E8" s="3" t="s">
        <v>586</v>
      </c>
      <c r="F8" s="3" t="s">
        <v>9</v>
      </c>
      <c r="G8" s="3" t="s">
        <v>402</v>
      </c>
      <c r="H8" s="3" t="n">
        <v>1</v>
      </c>
      <c r="I8" s="3" t="n">
        <v>1</v>
      </c>
      <c r="J8" s="3" t="n">
        <v>0</v>
      </c>
      <c r="K8" s="3" t="n">
        <v>1</v>
      </c>
      <c r="L8" s="3" t="n">
        <v>16</v>
      </c>
      <c r="M8" s="3" t="n">
        <v>4</v>
      </c>
      <c r="N8" s="3" t="n">
        <v>4</v>
      </c>
      <c r="O8" s="3"/>
      <c r="P8" s="3" t="s">
        <v>587</v>
      </c>
    </row>
    <row r="9" customFormat="false" ht="23.85" hidden="false" customHeight="false" outlineLevel="0" collapsed="false">
      <c r="A9" s="15" t="n">
        <v>1930</v>
      </c>
      <c r="B9" s="15" t="s">
        <v>102</v>
      </c>
      <c r="C9" s="15" t="s">
        <v>371</v>
      </c>
      <c r="D9" s="15" t="s">
        <v>525</v>
      </c>
      <c r="E9" s="15" t="s">
        <v>588</v>
      </c>
      <c r="F9" s="15" t="s">
        <v>9</v>
      </c>
      <c r="G9" s="15" t="s">
        <v>402</v>
      </c>
      <c r="H9" s="15" t="n">
        <v>13</v>
      </c>
      <c r="I9" s="15" t="n">
        <v>13</v>
      </c>
      <c r="J9" s="15" t="n">
        <v>0</v>
      </c>
      <c r="K9" s="15" t="n">
        <v>0</v>
      </c>
      <c r="L9" s="15" t="n">
        <v>28</v>
      </c>
      <c r="M9" s="15" t="n">
        <v>17</v>
      </c>
      <c r="N9" s="15" t="n">
        <v>17</v>
      </c>
      <c r="O9" s="15" t="s">
        <v>581</v>
      </c>
      <c r="P9" s="15" t="s">
        <v>589</v>
      </c>
    </row>
    <row r="10" customFormat="false" ht="23.85" hidden="false" customHeight="false" outlineLevel="0" collapsed="false">
      <c r="A10" s="3" t="n">
        <v>1926</v>
      </c>
      <c r="B10" s="3" t="s">
        <v>102</v>
      </c>
      <c r="C10" s="3" t="s">
        <v>347</v>
      </c>
      <c r="D10" s="3" t="s">
        <v>483</v>
      </c>
      <c r="E10" s="3"/>
      <c r="F10" s="3" t="s">
        <v>13</v>
      </c>
      <c r="G10" s="3" t="s">
        <v>404</v>
      </c>
      <c r="H10" s="3" t="n">
        <v>34</v>
      </c>
      <c r="I10" s="3" t="n">
        <v>34</v>
      </c>
      <c r="J10" s="3" t="n">
        <v>0</v>
      </c>
      <c r="K10" s="3" t="n">
        <v>5</v>
      </c>
      <c r="L10" s="3" t="n">
        <v>50</v>
      </c>
      <c r="M10" s="3" t="n">
        <v>49</v>
      </c>
      <c r="N10" s="3" t="n">
        <v>49</v>
      </c>
      <c r="O10" s="3"/>
      <c r="P10" s="3" t="s">
        <v>590</v>
      </c>
    </row>
    <row r="11" customFormat="false" ht="23.85" hidden="false" customHeight="false" outlineLevel="0" collapsed="false">
      <c r="A11" s="3" t="n">
        <v>1927</v>
      </c>
      <c r="B11" s="3" t="s">
        <v>102</v>
      </c>
      <c r="C11" s="3" t="s">
        <v>348</v>
      </c>
      <c r="D11" s="3" t="s">
        <v>591</v>
      </c>
      <c r="E11" s="3" t="s">
        <v>588</v>
      </c>
      <c r="F11" s="3" t="s">
        <v>34</v>
      </c>
      <c r="G11" s="3" t="s">
        <v>406</v>
      </c>
      <c r="H11" s="3" t="n">
        <v>16</v>
      </c>
      <c r="I11" s="3" t="n">
        <v>16</v>
      </c>
      <c r="J11" s="3" t="n">
        <v>0</v>
      </c>
      <c r="K11" s="3" t="n">
        <v>0</v>
      </c>
      <c r="L11" s="3" t="n">
        <v>30</v>
      </c>
      <c r="M11" s="3" t="n">
        <v>0</v>
      </c>
      <c r="N11" s="3" t="n">
        <v>0</v>
      </c>
      <c r="O11" s="3"/>
      <c r="P11" s="3" t="s">
        <v>592</v>
      </c>
    </row>
    <row r="12" customFormat="false" ht="23.85" hidden="false" customHeight="false" outlineLevel="0" collapsed="false">
      <c r="A12" s="3" t="n">
        <v>1927</v>
      </c>
      <c r="B12" s="3" t="s">
        <v>102</v>
      </c>
      <c r="C12" s="3" t="s">
        <v>350</v>
      </c>
      <c r="D12" s="3"/>
      <c r="E12" s="3" t="s">
        <v>588</v>
      </c>
      <c r="F12" s="3" t="s">
        <v>34</v>
      </c>
      <c r="G12" s="3" t="s">
        <v>410</v>
      </c>
      <c r="H12" s="3" t="n">
        <v>30</v>
      </c>
      <c r="I12" s="3" t="n">
        <v>30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/>
      <c r="P12" s="3" t="s">
        <v>593</v>
      </c>
    </row>
    <row r="13" customFormat="false" ht="35.05" hidden="false" customHeight="false" outlineLevel="0" collapsed="false">
      <c r="A13" s="3" t="n">
        <v>1922</v>
      </c>
      <c r="B13" s="3" t="s">
        <v>250</v>
      </c>
      <c r="C13" s="3" t="s">
        <v>251</v>
      </c>
      <c r="D13" s="3" t="s">
        <v>482</v>
      </c>
      <c r="E13" s="3" t="s">
        <v>594</v>
      </c>
      <c r="F13" s="3" t="s">
        <v>9</v>
      </c>
      <c r="G13" s="3" t="s">
        <v>402</v>
      </c>
      <c r="H13" s="3" t="n">
        <v>12</v>
      </c>
      <c r="I13" s="3" t="n">
        <v>11</v>
      </c>
      <c r="J13" s="3" t="n">
        <v>1</v>
      </c>
      <c r="K13" s="3" t="n">
        <v>3</v>
      </c>
      <c r="L13" s="3" t="n">
        <v>56</v>
      </c>
      <c r="M13" s="3" t="n">
        <v>45</v>
      </c>
      <c r="N13" s="3" t="n">
        <v>45</v>
      </c>
      <c r="O13" s="3"/>
      <c r="P13" s="3" t="s">
        <v>595</v>
      </c>
    </row>
    <row r="14" customFormat="false" ht="46.25" hidden="false" customHeight="false" outlineLevel="0" collapsed="false">
      <c r="A14" s="3" t="n">
        <v>1922</v>
      </c>
      <c r="B14" s="3" t="s">
        <v>258</v>
      </c>
      <c r="C14" s="3" t="s">
        <v>259</v>
      </c>
      <c r="D14" s="3" t="s">
        <v>482</v>
      </c>
      <c r="E14" s="3" t="s">
        <v>596</v>
      </c>
      <c r="F14" s="3" t="s">
        <v>9</v>
      </c>
      <c r="G14" s="3" t="s">
        <v>402</v>
      </c>
      <c r="H14" s="3" t="n">
        <v>4</v>
      </c>
      <c r="I14" s="3" t="n">
        <v>3</v>
      </c>
      <c r="J14" s="3" t="n">
        <v>1</v>
      </c>
      <c r="K14" s="3" t="n">
        <v>2</v>
      </c>
      <c r="L14" s="3" t="n">
        <v>56</v>
      </c>
      <c r="M14" s="3" t="n">
        <v>45</v>
      </c>
      <c r="N14" s="3" t="n">
        <v>45</v>
      </c>
      <c r="O14" s="3"/>
      <c r="P14" s="3" t="s">
        <v>597</v>
      </c>
    </row>
    <row r="15" customFormat="false" ht="23.85" hidden="false" customHeight="false" outlineLevel="0" collapsed="false">
      <c r="A15" s="3" t="n">
        <v>1922</v>
      </c>
      <c r="B15" s="3" t="s">
        <v>190</v>
      </c>
      <c r="C15" s="3" t="s">
        <v>246</v>
      </c>
      <c r="D15" s="3" t="s">
        <v>422</v>
      </c>
      <c r="E15" s="3" t="s">
        <v>598</v>
      </c>
      <c r="F15" s="3" t="s">
        <v>31</v>
      </c>
      <c r="G15" s="3" t="s">
        <v>400</v>
      </c>
      <c r="H15" s="3" t="n">
        <v>7</v>
      </c>
      <c r="I15" s="3" t="n">
        <v>7</v>
      </c>
      <c r="J15" s="3" t="n">
        <v>0</v>
      </c>
      <c r="K15" s="3" t="n">
        <v>4</v>
      </c>
      <c r="L15" s="3" t="n">
        <v>60</v>
      </c>
      <c r="M15" s="3" t="n">
        <v>46</v>
      </c>
      <c r="N15" s="3" t="n">
        <v>46</v>
      </c>
      <c r="O15" s="3"/>
      <c r="P15" s="3" t="s">
        <v>599</v>
      </c>
    </row>
    <row r="16" customFormat="false" ht="23.85" hidden="false" customHeight="false" outlineLevel="0" collapsed="false">
      <c r="A16" s="15" t="n">
        <v>1922</v>
      </c>
      <c r="B16" s="15" t="s">
        <v>7</v>
      </c>
      <c r="C16" s="15" t="s">
        <v>253</v>
      </c>
      <c r="D16" s="15" t="s">
        <v>453</v>
      </c>
      <c r="E16" s="15" t="s">
        <v>598</v>
      </c>
      <c r="F16" s="15" t="s">
        <v>13</v>
      </c>
      <c r="G16" s="15" t="s">
        <v>402</v>
      </c>
      <c r="H16" s="15" t="n">
        <v>2</v>
      </c>
      <c r="I16" s="15" t="n">
        <v>1</v>
      </c>
      <c r="J16" s="15" t="n">
        <v>1</v>
      </c>
      <c r="K16" s="15" t="n">
        <v>0</v>
      </c>
      <c r="L16" s="15" t="n">
        <v>58</v>
      </c>
      <c r="M16" s="15" t="n">
        <v>43</v>
      </c>
      <c r="N16" s="15" t="n">
        <v>43</v>
      </c>
      <c r="O16" s="15" t="s">
        <v>581</v>
      </c>
      <c r="P16" s="15" t="s">
        <v>600</v>
      </c>
    </row>
    <row r="17" customFormat="false" ht="35.05" hidden="false" customHeight="false" outlineLevel="0" collapsed="false">
      <c r="A17" s="15" t="n">
        <v>1922</v>
      </c>
      <c r="B17" s="15" t="s">
        <v>212</v>
      </c>
      <c r="C17" s="15" t="s">
        <v>261</v>
      </c>
      <c r="D17" s="15" t="s">
        <v>453</v>
      </c>
      <c r="E17" s="15"/>
      <c r="F17" s="15" t="s">
        <v>13</v>
      </c>
      <c r="G17" s="15" t="s">
        <v>402</v>
      </c>
      <c r="H17" s="15" t="n">
        <v>5</v>
      </c>
      <c r="I17" s="15" t="n">
        <v>3</v>
      </c>
      <c r="J17" s="15" t="n">
        <v>2</v>
      </c>
      <c r="K17" s="15" t="n">
        <v>0</v>
      </c>
      <c r="L17" s="15" t="n">
        <v>45</v>
      </c>
      <c r="M17" s="15" t="n">
        <v>45</v>
      </c>
      <c r="N17" s="15" t="n">
        <v>45</v>
      </c>
      <c r="O17" s="15" t="s">
        <v>581</v>
      </c>
      <c r="P17" s="15" t="s">
        <v>601</v>
      </c>
    </row>
    <row r="18" customFormat="false" ht="23.85" hidden="false" customHeight="false" outlineLevel="0" collapsed="false">
      <c r="A18" s="3" t="n">
        <v>1922</v>
      </c>
      <c r="B18" s="3" t="s">
        <v>262</v>
      </c>
      <c r="C18" s="3" t="s">
        <v>263</v>
      </c>
      <c r="D18" s="3" t="s">
        <v>602</v>
      </c>
      <c r="E18" s="3"/>
      <c r="F18" s="3" t="s">
        <v>31</v>
      </c>
      <c r="G18" s="3" t="s">
        <v>404</v>
      </c>
      <c r="H18" s="3" t="n">
        <v>9</v>
      </c>
      <c r="I18" s="3" t="n">
        <v>9</v>
      </c>
      <c r="J18" s="3" t="n">
        <v>0</v>
      </c>
      <c r="K18" s="3" t="n">
        <v>2</v>
      </c>
      <c r="L18" s="3" t="n">
        <v>49</v>
      </c>
      <c r="M18" s="3" t="n">
        <v>49</v>
      </c>
      <c r="N18" s="3" t="n">
        <v>49</v>
      </c>
      <c r="O18" s="3"/>
      <c r="P18" s="3" t="s">
        <v>603</v>
      </c>
    </row>
    <row r="19" customFormat="false" ht="23.85" hidden="false" customHeight="false" outlineLevel="0" collapsed="false">
      <c r="A19" s="3" t="n">
        <v>1922</v>
      </c>
      <c r="B19" s="3" t="s">
        <v>155</v>
      </c>
      <c r="C19" s="3" t="s">
        <v>257</v>
      </c>
      <c r="D19" s="3" t="s">
        <v>483</v>
      </c>
      <c r="E19" s="3"/>
      <c r="F19" s="3" t="s">
        <v>13</v>
      </c>
      <c r="G19" s="3" t="s">
        <v>404</v>
      </c>
      <c r="H19" s="3" t="n">
        <v>11</v>
      </c>
      <c r="I19" s="3" t="n">
        <v>11</v>
      </c>
      <c r="J19" s="3" t="n">
        <v>0</v>
      </c>
      <c r="K19" s="3" t="n">
        <v>1</v>
      </c>
      <c r="L19" s="3" t="n">
        <v>50</v>
      </c>
      <c r="M19" s="3" t="n">
        <v>49</v>
      </c>
      <c r="N19" s="3" t="n">
        <v>49</v>
      </c>
      <c r="O19" s="3"/>
      <c r="P19" s="3" t="s">
        <v>604</v>
      </c>
    </row>
    <row r="20" customFormat="false" ht="23.85" hidden="false" customHeight="false" outlineLevel="0" collapsed="false">
      <c r="A20" s="3" t="n">
        <v>1922</v>
      </c>
      <c r="B20" s="3" t="s">
        <v>268</v>
      </c>
      <c r="C20" s="3" t="s">
        <v>269</v>
      </c>
      <c r="D20" s="3" t="s">
        <v>605</v>
      </c>
      <c r="E20" s="3" t="s">
        <v>576</v>
      </c>
      <c r="F20" s="3" t="s">
        <v>34</v>
      </c>
      <c r="G20" s="3" t="s">
        <v>406</v>
      </c>
      <c r="H20" s="3" t="n">
        <v>2</v>
      </c>
      <c r="I20" s="3" t="n">
        <v>2</v>
      </c>
      <c r="J20" s="3" t="n">
        <v>0</v>
      </c>
      <c r="K20" s="3" t="n">
        <v>0</v>
      </c>
      <c r="L20" s="3" t="n">
        <v>28</v>
      </c>
      <c r="M20" s="3" t="n">
        <v>0</v>
      </c>
      <c r="N20" s="3" t="n">
        <v>0</v>
      </c>
      <c r="O20" s="3"/>
      <c r="P20" s="3" t="s">
        <v>606</v>
      </c>
    </row>
    <row r="21" customFormat="false" ht="23.85" hidden="false" customHeight="false" outlineLevel="0" collapsed="false">
      <c r="A21" s="3" t="n">
        <v>1922</v>
      </c>
      <c r="B21" s="3" t="s">
        <v>23</v>
      </c>
      <c r="C21" s="3" t="s">
        <v>265</v>
      </c>
      <c r="D21" s="3" t="s">
        <v>607</v>
      </c>
      <c r="E21" s="3"/>
      <c r="F21" s="3" t="s">
        <v>9</v>
      </c>
      <c r="G21" s="3" t="s">
        <v>406</v>
      </c>
      <c r="H21" s="3" t="n">
        <v>7</v>
      </c>
      <c r="I21" s="3" t="n">
        <v>7</v>
      </c>
      <c r="J21" s="3" t="n">
        <v>0</v>
      </c>
      <c r="K21" s="3" t="n">
        <v>0</v>
      </c>
      <c r="L21" s="3" t="n">
        <v>29</v>
      </c>
      <c r="M21" s="3" t="n">
        <v>0</v>
      </c>
      <c r="N21" s="3" t="n">
        <v>0</v>
      </c>
      <c r="O21" s="3"/>
      <c r="P21" s="3" t="s">
        <v>608</v>
      </c>
    </row>
    <row r="22" customFormat="false" ht="23.85" hidden="false" customHeight="false" outlineLevel="0" collapsed="false">
      <c r="A22" s="3" t="n">
        <v>1922</v>
      </c>
      <c r="B22" s="3" t="s">
        <v>190</v>
      </c>
      <c r="C22" s="3" t="s">
        <v>247</v>
      </c>
      <c r="D22" s="3" t="s">
        <v>609</v>
      </c>
      <c r="E22" s="3" t="s">
        <v>598</v>
      </c>
      <c r="F22" s="3" t="s">
        <v>31</v>
      </c>
      <c r="G22" s="3" t="s">
        <v>404</v>
      </c>
      <c r="H22" s="3" t="n">
        <v>14</v>
      </c>
      <c r="I22" s="3" t="n">
        <v>13</v>
      </c>
      <c r="J22" s="3" t="n">
        <v>1</v>
      </c>
      <c r="K22" s="3" t="n">
        <v>4</v>
      </c>
      <c r="L22" s="3" t="n">
        <v>52</v>
      </c>
      <c r="M22" s="3" t="n">
        <v>37</v>
      </c>
      <c r="N22" s="3" t="n">
        <v>37</v>
      </c>
      <c r="O22" s="3"/>
      <c r="P22" s="3" t="s">
        <v>610</v>
      </c>
    </row>
    <row r="23" customFormat="false" ht="35.05" hidden="false" customHeight="false" outlineLevel="0" collapsed="false">
      <c r="A23" s="15" t="n">
        <v>1922</v>
      </c>
      <c r="B23" s="15" t="s">
        <v>254</v>
      </c>
      <c r="C23" s="15" t="s">
        <v>255</v>
      </c>
      <c r="D23" s="15" t="s">
        <v>553</v>
      </c>
      <c r="E23" s="15" t="s">
        <v>611</v>
      </c>
      <c r="F23" s="15" t="s">
        <v>9</v>
      </c>
      <c r="G23" s="15" t="s">
        <v>402</v>
      </c>
      <c r="H23" s="15" t="n">
        <v>9</v>
      </c>
      <c r="I23" s="15" t="n">
        <v>9</v>
      </c>
      <c r="J23" s="15" t="n">
        <v>0</v>
      </c>
      <c r="K23" s="15" t="n">
        <v>0</v>
      </c>
      <c r="L23" s="15" t="n">
        <v>32</v>
      </c>
      <c r="M23" s="15" t="n">
        <v>13</v>
      </c>
      <c r="N23" s="15" t="n">
        <v>13</v>
      </c>
      <c r="O23" s="15" t="s">
        <v>581</v>
      </c>
      <c r="P23" s="15" t="s">
        <v>612</v>
      </c>
    </row>
    <row r="24" customFormat="false" ht="23.85" hidden="false" customHeight="false" outlineLevel="0" collapsed="false">
      <c r="A24" s="3" t="n">
        <v>1922</v>
      </c>
      <c r="B24" s="3" t="s">
        <v>23</v>
      </c>
      <c r="C24" s="3" t="s">
        <v>267</v>
      </c>
      <c r="D24" s="3"/>
      <c r="E24" s="3"/>
      <c r="F24" s="3" t="s">
        <v>13</v>
      </c>
      <c r="G24" s="3" t="s">
        <v>410</v>
      </c>
      <c r="H24" s="3" t="n">
        <v>2</v>
      </c>
      <c r="I24" s="3" t="n">
        <v>2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/>
      <c r="P24" s="3" t="s">
        <v>613</v>
      </c>
    </row>
    <row r="25" customFormat="false" ht="23.85" hidden="false" customHeight="false" outlineLevel="0" collapsed="false">
      <c r="A25" s="3" t="n">
        <v>1923</v>
      </c>
      <c r="B25" s="3" t="s">
        <v>23</v>
      </c>
      <c r="C25" s="3" t="s">
        <v>282</v>
      </c>
      <c r="D25" s="3"/>
      <c r="E25" s="3" t="s">
        <v>588</v>
      </c>
      <c r="F25" s="3" t="s">
        <v>34</v>
      </c>
      <c r="G25" s="3" t="s">
        <v>410</v>
      </c>
      <c r="H25" s="3" t="n">
        <v>7</v>
      </c>
      <c r="I25" s="3" t="n">
        <v>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/>
      <c r="P25" s="3" t="s">
        <v>614</v>
      </c>
    </row>
    <row r="26" customFormat="false" ht="23.85" hidden="false" customHeight="false" outlineLevel="0" collapsed="false">
      <c r="A26" s="3" t="n">
        <v>1923</v>
      </c>
      <c r="B26" s="3" t="s">
        <v>278</v>
      </c>
      <c r="C26" s="3" t="s">
        <v>276</v>
      </c>
      <c r="D26" s="3" t="s">
        <v>615</v>
      </c>
      <c r="E26" s="3" t="s">
        <v>588</v>
      </c>
      <c r="F26" s="3" t="s">
        <v>9</v>
      </c>
      <c r="G26" s="3" t="s">
        <v>406</v>
      </c>
      <c r="H26" s="3" t="n">
        <v>13</v>
      </c>
      <c r="I26" s="3" t="n">
        <v>13</v>
      </c>
      <c r="J26" s="3" t="n">
        <v>0</v>
      </c>
      <c r="K26" s="3" t="n">
        <v>0</v>
      </c>
      <c r="L26" s="3" t="n">
        <v>29</v>
      </c>
      <c r="M26" s="3" t="n">
        <v>0</v>
      </c>
      <c r="N26" s="3" t="n">
        <v>0</v>
      </c>
      <c r="O26" s="3"/>
      <c r="P26" s="3" t="s">
        <v>616</v>
      </c>
    </row>
    <row r="27" customFormat="false" ht="23.85" hidden="false" customHeight="false" outlineLevel="0" collapsed="false">
      <c r="A27" s="3" t="n">
        <v>1923</v>
      </c>
      <c r="B27" s="3" t="s">
        <v>278</v>
      </c>
      <c r="C27" s="3" t="s">
        <v>276</v>
      </c>
      <c r="D27" s="3" t="s">
        <v>617</v>
      </c>
      <c r="E27" s="3" t="s">
        <v>588</v>
      </c>
      <c r="F27" s="3" t="s">
        <v>34</v>
      </c>
      <c r="G27" s="3" t="s">
        <v>406</v>
      </c>
      <c r="H27" s="3" t="n">
        <v>3</v>
      </c>
      <c r="I27" s="3" t="n">
        <v>3</v>
      </c>
      <c r="J27" s="3" t="n">
        <v>0</v>
      </c>
      <c r="K27" s="3" t="n">
        <v>0</v>
      </c>
      <c r="L27" s="3" t="n">
        <v>30</v>
      </c>
      <c r="M27" s="3" t="n">
        <v>0</v>
      </c>
      <c r="N27" s="3" t="n">
        <v>0</v>
      </c>
      <c r="O27" s="3"/>
      <c r="P27" s="3" t="s">
        <v>618</v>
      </c>
    </row>
    <row r="28" customFormat="false" ht="23.85" hidden="false" customHeight="false" outlineLevel="0" collapsed="false">
      <c r="A28" s="3" t="n">
        <v>1923</v>
      </c>
      <c r="B28" s="3" t="s">
        <v>278</v>
      </c>
      <c r="C28" s="3" t="s">
        <v>276</v>
      </c>
      <c r="D28" s="3" t="s">
        <v>619</v>
      </c>
      <c r="E28" s="3" t="s">
        <v>588</v>
      </c>
      <c r="F28" s="3" t="s">
        <v>34</v>
      </c>
      <c r="G28" s="3" t="s">
        <v>406</v>
      </c>
      <c r="H28" s="3" t="n">
        <v>7</v>
      </c>
      <c r="I28" s="3" t="n">
        <v>7</v>
      </c>
      <c r="J28" s="3" t="n">
        <v>0</v>
      </c>
      <c r="K28" s="3" t="n">
        <v>0</v>
      </c>
      <c r="L28" s="3" t="n">
        <v>30</v>
      </c>
      <c r="M28" s="3" t="n">
        <v>0</v>
      </c>
      <c r="N28" s="3" t="n">
        <v>0</v>
      </c>
      <c r="O28" s="3"/>
      <c r="P28" s="3" t="s">
        <v>620</v>
      </c>
    </row>
    <row r="29" customFormat="false" ht="23.85" hidden="false" customHeight="false" outlineLevel="0" collapsed="false">
      <c r="A29" s="3" t="n">
        <v>1923</v>
      </c>
      <c r="B29" s="3" t="s">
        <v>278</v>
      </c>
      <c r="C29" s="3" t="s">
        <v>276</v>
      </c>
      <c r="D29" s="3"/>
      <c r="E29" s="3" t="s">
        <v>588</v>
      </c>
      <c r="F29" s="3" t="s">
        <v>34</v>
      </c>
      <c r="G29" s="3" t="s">
        <v>410</v>
      </c>
      <c r="H29" s="3" t="n">
        <v>7</v>
      </c>
      <c r="I29" s="3" t="n">
        <v>7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/>
      <c r="P29" s="3" t="s">
        <v>621</v>
      </c>
    </row>
    <row r="30" customFormat="false" ht="23.85" hidden="false" customHeight="false" outlineLevel="0" collapsed="false">
      <c r="A30" s="3" t="n">
        <v>1923</v>
      </c>
      <c r="B30" s="3" t="s">
        <v>278</v>
      </c>
      <c r="C30" s="3" t="s">
        <v>276</v>
      </c>
      <c r="D30" s="3" t="s">
        <v>615</v>
      </c>
      <c r="E30" s="3" t="s">
        <v>588</v>
      </c>
      <c r="F30" s="3" t="s">
        <v>13</v>
      </c>
      <c r="G30" s="3" t="s">
        <v>406</v>
      </c>
      <c r="H30" s="3" t="n">
        <v>4</v>
      </c>
      <c r="I30" s="3" t="n">
        <v>4</v>
      </c>
      <c r="J30" s="3" t="n">
        <v>0</v>
      </c>
      <c r="K30" s="3" t="n">
        <v>0</v>
      </c>
      <c r="L30" s="3" t="n">
        <v>29</v>
      </c>
      <c r="M30" s="3" t="n">
        <v>0</v>
      </c>
      <c r="N30" s="3" t="n">
        <v>0</v>
      </c>
      <c r="O30" s="3"/>
      <c r="P30" s="3" t="s">
        <v>622</v>
      </c>
    </row>
    <row r="31" customFormat="false" ht="23.85" hidden="false" customHeight="false" outlineLevel="0" collapsed="false">
      <c r="A31" s="3" t="n">
        <v>1923</v>
      </c>
      <c r="B31" s="3" t="s">
        <v>275</v>
      </c>
      <c r="C31" s="3" t="s">
        <v>276</v>
      </c>
      <c r="D31" s="3" t="s">
        <v>623</v>
      </c>
      <c r="E31" s="3" t="s">
        <v>588</v>
      </c>
      <c r="F31" s="3" t="s">
        <v>9</v>
      </c>
      <c r="G31" s="3" t="s">
        <v>406</v>
      </c>
      <c r="H31" s="3" t="n">
        <v>4</v>
      </c>
      <c r="I31" s="3" t="n">
        <v>4</v>
      </c>
      <c r="J31" s="3" t="n">
        <v>0</v>
      </c>
      <c r="K31" s="3" t="n">
        <v>0</v>
      </c>
      <c r="L31" s="3" t="n">
        <v>30</v>
      </c>
      <c r="M31" s="3" t="n">
        <v>0</v>
      </c>
      <c r="N31" s="3" t="n">
        <v>0</v>
      </c>
      <c r="O31" s="3"/>
      <c r="P31" s="3" t="s">
        <v>624</v>
      </c>
    </row>
    <row r="32" customFormat="false" ht="23.85" hidden="false" customHeight="false" outlineLevel="0" collapsed="false">
      <c r="A32" s="3" t="n">
        <v>1923</v>
      </c>
      <c r="B32" s="3" t="s">
        <v>271</v>
      </c>
      <c r="C32" s="3" t="s">
        <v>272</v>
      </c>
      <c r="D32" s="3" t="s">
        <v>607</v>
      </c>
      <c r="E32" s="3" t="s">
        <v>588</v>
      </c>
      <c r="F32" s="3" t="s">
        <v>34</v>
      </c>
      <c r="G32" s="3" t="s">
        <v>406</v>
      </c>
      <c r="H32" s="3" t="n">
        <v>2</v>
      </c>
      <c r="I32" s="3" t="n">
        <v>2</v>
      </c>
      <c r="J32" s="3" t="n">
        <v>0</v>
      </c>
      <c r="K32" s="3" t="n">
        <v>0</v>
      </c>
      <c r="L32" s="3" t="n">
        <v>29</v>
      </c>
      <c r="M32" s="3" t="n">
        <v>0</v>
      </c>
      <c r="N32" s="3" t="n">
        <v>0</v>
      </c>
      <c r="O32" s="3"/>
      <c r="P32" s="3" t="s">
        <v>625</v>
      </c>
    </row>
    <row r="33" customFormat="false" ht="23.85" hidden="false" customHeight="false" outlineLevel="0" collapsed="false">
      <c r="A33" s="3" t="n">
        <v>1923</v>
      </c>
      <c r="B33" s="3" t="s">
        <v>271</v>
      </c>
      <c r="C33" s="3" t="s">
        <v>272</v>
      </c>
      <c r="D33" s="3" t="s">
        <v>626</v>
      </c>
      <c r="E33" s="3" t="s">
        <v>627</v>
      </c>
      <c r="F33" s="3" t="s">
        <v>34</v>
      </c>
      <c r="G33" s="3" t="s">
        <v>406</v>
      </c>
      <c r="H33" s="3" t="n">
        <v>1</v>
      </c>
      <c r="I33" s="3" t="n">
        <v>1</v>
      </c>
      <c r="J33" s="3" t="n">
        <v>0</v>
      </c>
      <c r="K33" s="3" t="n">
        <v>0</v>
      </c>
      <c r="L33" s="3" t="n">
        <v>30</v>
      </c>
      <c r="M33" s="3" t="n">
        <v>0</v>
      </c>
      <c r="N33" s="3" t="n">
        <v>0</v>
      </c>
      <c r="O33" s="3"/>
      <c r="P33" s="3" t="s">
        <v>628</v>
      </c>
    </row>
    <row r="34" customFormat="false" ht="23.85" hidden="false" customHeight="false" outlineLevel="0" collapsed="false">
      <c r="A34" s="3" t="n">
        <v>1923</v>
      </c>
      <c r="B34" s="3" t="s">
        <v>271</v>
      </c>
      <c r="C34" s="3" t="s">
        <v>272</v>
      </c>
      <c r="D34" s="3"/>
      <c r="E34" s="3" t="s">
        <v>627</v>
      </c>
      <c r="F34" s="3" t="s">
        <v>34</v>
      </c>
      <c r="G34" s="3" t="s">
        <v>410</v>
      </c>
      <c r="H34" s="3" t="n">
        <v>3</v>
      </c>
      <c r="I34" s="3" t="n">
        <v>3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/>
      <c r="P34" s="3" t="s">
        <v>629</v>
      </c>
    </row>
    <row r="35" customFormat="false" ht="23.85" hidden="false" customHeight="false" outlineLevel="0" collapsed="false">
      <c r="A35" s="3" t="n">
        <v>1923</v>
      </c>
      <c r="B35" s="3" t="s">
        <v>286</v>
      </c>
      <c r="C35" s="3" t="s">
        <v>287</v>
      </c>
      <c r="D35" s="3" t="s">
        <v>617</v>
      </c>
      <c r="E35" s="3" t="s">
        <v>588</v>
      </c>
      <c r="F35" s="3" t="s">
        <v>34</v>
      </c>
      <c r="G35" s="3" t="s">
        <v>406</v>
      </c>
      <c r="H35" s="3" t="n">
        <v>5</v>
      </c>
      <c r="I35" s="3" t="n">
        <v>5</v>
      </c>
      <c r="J35" s="3" t="n">
        <v>0</v>
      </c>
      <c r="K35" s="3" t="n">
        <v>0</v>
      </c>
      <c r="L35" s="3" t="n">
        <v>30</v>
      </c>
      <c r="M35" s="3" t="n">
        <v>0</v>
      </c>
      <c r="N35" s="3" t="n">
        <v>0</v>
      </c>
      <c r="O35" s="3"/>
      <c r="P35" s="3" t="s">
        <v>630</v>
      </c>
    </row>
    <row r="36" customFormat="false" ht="23.85" hidden="false" customHeight="false" outlineLevel="0" collapsed="false">
      <c r="A36" s="15" t="n">
        <v>1923</v>
      </c>
      <c r="B36" s="15" t="s">
        <v>289</v>
      </c>
      <c r="C36" s="15" t="s">
        <v>290</v>
      </c>
      <c r="D36" s="15" t="s">
        <v>543</v>
      </c>
      <c r="E36" s="15" t="s">
        <v>631</v>
      </c>
      <c r="F36" s="15" t="s">
        <v>9</v>
      </c>
      <c r="G36" s="15" t="s">
        <v>402</v>
      </c>
      <c r="H36" s="15" t="n">
        <v>4</v>
      </c>
      <c r="I36" s="15" t="n">
        <v>4</v>
      </c>
      <c r="J36" s="15" t="n">
        <v>0</v>
      </c>
      <c r="K36" s="15" t="n">
        <v>0</v>
      </c>
      <c r="L36" s="15" t="n">
        <v>63</v>
      </c>
      <c r="M36" s="15" t="n">
        <v>33</v>
      </c>
      <c r="N36" s="15" t="n">
        <v>33</v>
      </c>
      <c r="O36" s="15" t="s">
        <v>581</v>
      </c>
      <c r="P36" s="15" t="s">
        <v>632</v>
      </c>
    </row>
    <row r="37" customFormat="false" ht="23.85" hidden="false" customHeight="false" outlineLevel="0" collapsed="false">
      <c r="A37" s="3" t="n">
        <v>1923</v>
      </c>
      <c r="B37" s="3" t="s">
        <v>102</v>
      </c>
      <c r="C37" s="3" t="s">
        <v>283</v>
      </c>
      <c r="D37" s="3" t="s">
        <v>615</v>
      </c>
      <c r="E37" s="3" t="s">
        <v>627</v>
      </c>
      <c r="F37" s="3" t="s">
        <v>9</v>
      </c>
      <c r="G37" s="3" t="s">
        <v>406</v>
      </c>
      <c r="H37" s="3" t="n">
        <v>21</v>
      </c>
      <c r="I37" s="3" t="n">
        <v>19</v>
      </c>
      <c r="J37" s="3" t="n">
        <v>2</v>
      </c>
      <c r="K37" s="3" t="n">
        <v>0</v>
      </c>
      <c r="L37" s="3" t="n">
        <v>27</v>
      </c>
      <c r="M37" s="3" t="n">
        <v>0</v>
      </c>
      <c r="N37" s="3" t="n">
        <v>0</v>
      </c>
      <c r="O37" s="3"/>
      <c r="P37" s="3" t="s">
        <v>633</v>
      </c>
    </row>
    <row r="38" customFormat="false" ht="23.85" hidden="false" customHeight="false" outlineLevel="0" collapsed="false">
      <c r="A38" s="3" t="n">
        <v>1923</v>
      </c>
      <c r="B38" s="3" t="s">
        <v>102</v>
      </c>
      <c r="C38" s="3" t="s">
        <v>283</v>
      </c>
      <c r="D38" s="3" t="s">
        <v>615</v>
      </c>
      <c r="E38" s="3" t="s">
        <v>588</v>
      </c>
      <c r="F38" s="3" t="s">
        <v>9</v>
      </c>
      <c r="G38" s="3" t="s">
        <v>406</v>
      </c>
      <c r="H38" s="3" t="n">
        <v>12</v>
      </c>
      <c r="I38" s="3" t="n">
        <v>12</v>
      </c>
      <c r="J38" s="3" t="n">
        <v>0</v>
      </c>
      <c r="K38" s="3" t="n">
        <v>0</v>
      </c>
      <c r="L38" s="3" t="n">
        <v>29</v>
      </c>
      <c r="M38" s="3" t="n">
        <v>0</v>
      </c>
      <c r="N38" s="3" t="n">
        <v>0</v>
      </c>
      <c r="O38" s="3"/>
      <c r="P38" s="3" t="s">
        <v>634</v>
      </c>
    </row>
    <row r="39" customFormat="false" ht="23.85" hidden="false" customHeight="false" outlineLevel="0" collapsed="false">
      <c r="A39" s="3" t="n">
        <v>1916</v>
      </c>
      <c r="B39" s="3" t="s">
        <v>187</v>
      </c>
      <c r="C39" s="3" t="s">
        <v>188</v>
      </c>
      <c r="D39" s="3"/>
      <c r="E39" s="3" t="s">
        <v>631</v>
      </c>
      <c r="F39" s="3" t="s">
        <v>34</v>
      </c>
      <c r="G39" s="3" t="s">
        <v>410</v>
      </c>
      <c r="H39" s="3" t="n">
        <v>65</v>
      </c>
      <c r="I39" s="3" t="n">
        <v>63</v>
      </c>
      <c r="J39" s="3" t="n">
        <v>2</v>
      </c>
      <c r="K39" s="3" t="n">
        <v>0</v>
      </c>
      <c r="L39" s="3" t="n">
        <v>0</v>
      </c>
      <c r="M39" s="3" t="n">
        <v>0</v>
      </c>
      <c r="N39" s="3" t="n">
        <v>0</v>
      </c>
      <c r="O39" s="3"/>
      <c r="P39" s="3" t="s">
        <v>635</v>
      </c>
    </row>
    <row r="40" customFormat="false" ht="23.85" hidden="false" customHeight="false" outlineLevel="0" collapsed="false">
      <c r="A40" s="3" t="n">
        <v>1909</v>
      </c>
      <c r="B40" s="3" t="s">
        <v>7</v>
      </c>
      <c r="C40" s="3" t="s">
        <v>64</v>
      </c>
      <c r="D40" s="3" t="s">
        <v>636</v>
      </c>
      <c r="E40" s="3" t="s">
        <v>637</v>
      </c>
      <c r="F40" s="3" t="s">
        <v>34</v>
      </c>
      <c r="G40" s="3" t="s">
        <v>408</v>
      </c>
      <c r="H40" s="3" t="n">
        <v>23</v>
      </c>
      <c r="I40" s="3" t="n">
        <v>14</v>
      </c>
      <c r="J40" s="3" t="n">
        <v>9</v>
      </c>
      <c r="K40" s="3" t="n">
        <v>1</v>
      </c>
      <c r="L40" s="3" t="n">
        <v>10</v>
      </c>
      <c r="M40" s="3" t="n">
        <v>0</v>
      </c>
      <c r="N40" s="3" t="n">
        <v>0</v>
      </c>
      <c r="O40" s="3"/>
      <c r="P40" s="3" t="s">
        <v>638</v>
      </c>
    </row>
    <row r="41" customFormat="false" ht="23.85" hidden="false" customHeight="false" outlineLevel="0" collapsed="false">
      <c r="A41" s="3" t="n">
        <v>1909</v>
      </c>
      <c r="B41" s="3" t="s">
        <v>110</v>
      </c>
      <c r="C41" s="3" t="s">
        <v>111</v>
      </c>
      <c r="D41" s="3" t="s">
        <v>639</v>
      </c>
      <c r="E41" s="3" t="s">
        <v>640</v>
      </c>
      <c r="F41" s="3" t="s">
        <v>31</v>
      </c>
      <c r="G41" s="3" t="s">
        <v>400</v>
      </c>
      <c r="H41" s="3" t="n">
        <v>15</v>
      </c>
      <c r="I41" s="3" t="n">
        <v>15</v>
      </c>
      <c r="J41" s="3" t="n">
        <v>0</v>
      </c>
      <c r="K41" s="3" t="n">
        <v>1</v>
      </c>
      <c r="L41" s="3" t="n">
        <v>32</v>
      </c>
      <c r="M41" s="3" t="n">
        <v>13</v>
      </c>
      <c r="N41" s="3" t="n">
        <v>13</v>
      </c>
      <c r="O41" s="3"/>
      <c r="P41" s="3" t="s">
        <v>641</v>
      </c>
    </row>
    <row r="42" customFormat="false" ht="23.85" hidden="false" customHeight="false" outlineLevel="0" collapsed="false">
      <c r="A42" s="3" t="n">
        <v>1909</v>
      </c>
      <c r="B42" s="3" t="s">
        <v>116</v>
      </c>
      <c r="C42" s="3" t="s">
        <v>117</v>
      </c>
      <c r="D42" s="3" t="s">
        <v>642</v>
      </c>
      <c r="E42" s="3" t="s">
        <v>643</v>
      </c>
      <c r="F42" s="3" t="s">
        <v>9</v>
      </c>
      <c r="G42" s="3" t="s">
        <v>402</v>
      </c>
      <c r="H42" s="3" t="n">
        <v>21</v>
      </c>
      <c r="I42" s="3" t="n">
        <v>21</v>
      </c>
      <c r="J42" s="3" t="n">
        <v>0</v>
      </c>
      <c r="K42" s="3" t="n">
        <v>6</v>
      </c>
      <c r="L42" s="3" t="n">
        <v>7</v>
      </c>
      <c r="M42" s="3" t="n">
        <v>1</v>
      </c>
      <c r="N42" s="3" t="n">
        <v>1</v>
      </c>
      <c r="O42" s="3"/>
      <c r="P42" s="3" t="s">
        <v>644</v>
      </c>
    </row>
    <row r="43" customFormat="false" ht="23.85" hidden="false" customHeight="false" outlineLevel="0" collapsed="false">
      <c r="A43" s="3" t="n">
        <v>1909</v>
      </c>
      <c r="B43" s="3" t="s">
        <v>113</v>
      </c>
      <c r="C43" s="3" t="s">
        <v>114</v>
      </c>
      <c r="D43" s="3" t="s">
        <v>617</v>
      </c>
      <c r="E43" s="3" t="s">
        <v>640</v>
      </c>
      <c r="F43" s="3" t="s">
        <v>9</v>
      </c>
      <c r="G43" s="3" t="s">
        <v>406</v>
      </c>
      <c r="H43" s="3" t="n">
        <v>20</v>
      </c>
      <c r="I43" s="3" t="n">
        <v>20</v>
      </c>
      <c r="J43" s="3" t="n">
        <v>0</v>
      </c>
      <c r="K43" s="3" t="n">
        <v>0</v>
      </c>
      <c r="L43" s="3" t="n">
        <v>29</v>
      </c>
      <c r="M43" s="3" t="n">
        <v>0</v>
      </c>
      <c r="N43" s="3" t="n">
        <v>0</v>
      </c>
      <c r="O43" s="3"/>
      <c r="P43" s="3" t="s">
        <v>645</v>
      </c>
    </row>
    <row r="44" customFormat="false" ht="35.05" hidden="false" customHeight="false" outlineLevel="0" collapsed="false">
      <c r="A44" s="15" t="n">
        <v>1909</v>
      </c>
      <c r="B44" s="15" t="s">
        <v>119</v>
      </c>
      <c r="C44" s="15" t="s">
        <v>120</v>
      </c>
      <c r="D44" s="15" t="s">
        <v>547</v>
      </c>
      <c r="E44" s="15" t="s">
        <v>576</v>
      </c>
      <c r="F44" s="15" t="s">
        <v>34</v>
      </c>
      <c r="G44" s="15" t="s">
        <v>402</v>
      </c>
      <c r="H44" s="15" t="n">
        <v>6</v>
      </c>
      <c r="I44" s="15" t="n">
        <v>6</v>
      </c>
      <c r="J44" s="15" t="n">
        <v>0</v>
      </c>
      <c r="K44" s="15" t="n">
        <v>0</v>
      </c>
      <c r="L44" s="15" t="n">
        <v>31</v>
      </c>
      <c r="M44" s="15" t="n">
        <v>17</v>
      </c>
      <c r="N44" s="15" t="n">
        <v>17</v>
      </c>
      <c r="O44" s="15" t="s">
        <v>581</v>
      </c>
      <c r="P44" s="15" t="s">
        <v>646</v>
      </c>
    </row>
    <row r="45" customFormat="false" ht="35.05" hidden="false" customHeight="false" outlineLevel="0" collapsed="false">
      <c r="A45" s="3" t="n">
        <v>1904</v>
      </c>
      <c r="B45" s="3" t="s">
        <v>7</v>
      </c>
      <c r="C45" s="3" t="s">
        <v>8</v>
      </c>
      <c r="D45" s="3" t="s">
        <v>647</v>
      </c>
      <c r="E45" s="3"/>
      <c r="F45" s="3" t="s">
        <v>9</v>
      </c>
      <c r="G45" s="3" t="s">
        <v>402</v>
      </c>
      <c r="H45" s="3" t="n">
        <v>41</v>
      </c>
      <c r="I45" s="3" t="n">
        <v>35</v>
      </c>
      <c r="J45" s="3" t="n">
        <v>6</v>
      </c>
      <c r="K45" s="3" t="n">
        <v>9</v>
      </c>
      <c r="L45" s="3" t="n">
        <v>45</v>
      </c>
      <c r="M45" s="3" t="n">
        <v>45</v>
      </c>
      <c r="N45" s="3" t="n">
        <v>45</v>
      </c>
      <c r="O45" s="3"/>
      <c r="P45" s="3" t="s">
        <v>648</v>
      </c>
    </row>
    <row r="46" customFormat="false" ht="23.85" hidden="false" customHeight="false" outlineLevel="0" collapsed="false">
      <c r="A46" s="15" t="n">
        <v>1905</v>
      </c>
      <c r="B46" s="15" t="s">
        <v>11</v>
      </c>
      <c r="C46" s="15" t="s">
        <v>12</v>
      </c>
      <c r="D46" s="15" t="s">
        <v>468</v>
      </c>
      <c r="E46" s="15" t="s">
        <v>576</v>
      </c>
      <c r="F46" s="15" t="s">
        <v>13</v>
      </c>
      <c r="G46" s="15" t="s">
        <v>402</v>
      </c>
      <c r="H46" s="15" t="n">
        <v>2</v>
      </c>
      <c r="I46" s="15" t="n">
        <v>2</v>
      </c>
      <c r="J46" s="15" t="n">
        <v>0</v>
      </c>
      <c r="K46" s="15" t="n">
        <v>0</v>
      </c>
      <c r="L46" s="15" t="n">
        <v>30</v>
      </c>
      <c r="M46" s="15" t="n">
        <v>17</v>
      </c>
      <c r="N46" s="15" t="n">
        <v>17</v>
      </c>
      <c r="O46" s="15" t="s">
        <v>581</v>
      </c>
      <c r="P46" s="15" t="s">
        <v>649</v>
      </c>
    </row>
    <row r="47" customFormat="false" ht="23.85" hidden="false" customHeight="false" outlineLevel="0" collapsed="false">
      <c r="A47" s="15" t="n">
        <v>1905</v>
      </c>
      <c r="B47" s="15" t="s">
        <v>15</v>
      </c>
      <c r="C47" s="15" t="s">
        <v>16</v>
      </c>
      <c r="D47" s="15" t="s">
        <v>529</v>
      </c>
      <c r="E47" s="15" t="s">
        <v>576</v>
      </c>
      <c r="F47" s="15" t="s">
        <v>9</v>
      </c>
      <c r="G47" s="15" t="s">
        <v>402</v>
      </c>
      <c r="H47" s="15" t="n">
        <v>3</v>
      </c>
      <c r="I47" s="15" t="n">
        <v>3</v>
      </c>
      <c r="J47" s="15" t="n">
        <v>0</v>
      </c>
      <c r="K47" s="15" t="n">
        <v>0</v>
      </c>
      <c r="L47" s="15" t="n">
        <v>52</v>
      </c>
      <c r="M47" s="15" t="n">
        <v>47</v>
      </c>
      <c r="N47" s="15" t="n">
        <v>47</v>
      </c>
      <c r="O47" s="15" t="s">
        <v>581</v>
      </c>
      <c r="P47" s="15" t="s">
        <v>650</v>
      </c>
    </row>
    <row r="48" customFormat="false" ht="23.85" hidden="false" customHeight="false" outlineLevel="0" collapsed="false">
      <c r="A48" s="15" t="n">
        <v>1905</v>
      </c>
      <c r="B48" s="15" t="s">
        <v>18</v>
      </c>
      <c r="C48" s="15" t="s">
        <v>19</v>
      </c>
      <c r="D48" s="15" t="s">
        <v>561</v>
      </c>
      <c r="E48" s="15" t="s">
        <v>576</v>
      </c>
      <c r="F48" s="15" t="s">
        <v>9</v>
      </c>
      <c r="G48" s="15" t="s">
        <v>402</v>
      </c>
      <c r="H48" s="15" t="n">
        <v>5</v>
      </c>
      <c r="I48" s="15" t="n">
        <v>5</v>
      </c>
      <c r="J48" s="15" t="n">
        <v>0</v>
      </c>
      <c r="K48" s="15" t="n">
        <v>0</v>
      </c>
      <c r="L48" s="15" t="n">
        <v>28</v>
      </c>
      <c r="M48" s="15" t="n">
        <v>6</v>
      </c>
      <c r="N48" s="15" t="n">
        <v>6</v>
      </c>
      <c r="O48" s="15" t="s">
        <v>581</v>
      </c>
      <c r="P48" s="15" t="s">
        <v>651</v>
      </c>
    </row>
    <row r="49" customFormat="false" ht="46.25" hidden="false" customHeight="false" outlineLevel="0" collapsed="false">
      <c r="A49" s="3" t="n">
        <v>1905</v>
      </c>
      <c r="B49" s="3" t="s">
        <v>7</v>
      </c>
      <c r="C49" s="3" t="s">
        <v>21</v>
      </c>
      <c r="D49" s="3" t="s">
        <v>615</v>
      </c>
      <c r="E49" s="3" t="s">
        <v>576</v>
      </c>
      <c r="F49" s="3" t="s">
        <v>9</v>
      </c>
      <c r="G49" s="3" t="s">
        <v>406</v>
      </c>
      <c r="H49" s="3" t="n">
        <v>25</v>
      </c>
      <c r="I49" s="3" t="n">
        <v>25</v>
      </c>
      <c r="J49" s="3" t="n">
        <v>0</v>
      </c>
      <c r="K49" s="3" t="n">
        <v>0</v>
      </c>
      <c r="L49" s="3" t="n">
        <v>29</v>
      </c>
      <c r="M49" s="3" t="n">
        <v>0</v>
      </c>
      <c r="N49" s="3" t="n">
        <v>0</v>
      </c>
      <c r="O49" s="3"/>
      <c r="P49" s="3" t="s">
        <v>652</v>
      </c>
    </row>
    <row r="50" customFormat="false" ht="35.05" hidden="false" customHeight="false" outlineLevel="0" collapsed="false">
      <c r="A50" s="3" t="n">
        <v>1905</v>
      </c>
      <c r="B50" s="3" t="s">
        <v>23</v>
      </c>
      <c r="C50" s="3" t="s">
        <v>24</v>
      </c>
      <c r="D50" s="3" t="s">
        <v>653</v>
      </c>
      <c r="E50" s="3" t="s">
        <v>576</v>
      </c>
      <c r="F50" s="3" t="s">
        <v>9</v>
      </c>
      <c r="G50" s="3" t="s">
        <v>406</v>
      </c>
      <c r="H50" s="3" t="n">
        <v>23</v>
      </c>
      <c r="I50" s="3" t="n">
        <v>23</v>
      </c>
      <c r="J50" s="3" t="n">
        <v>0</v>
      </c>
      <c r="K50" s="3" t="n">
        <v>0</v>
      </c>
      <c r="L50" s="3" t="n">
        <v>25</v>
      </c>
      <c r="M50" s="3" t="n">
        <v>0</v>
      </c>
      <c r="N50" s="3" t="n">
        <v>0</v>
      </c>
      <c r="O50" s="3"/>
      <c r="P50" s="3" t="s">
        <v>654</v>
      </c>
    </row>
    <row r="51" customFormat="false" ht="23.85" hidden="false" customHeight="false" outlineLevel="0" collapsed="false">
      <c r="A51" s="15" t="n">
        <v>1905</v>
      </c>
      <c r="B51" s="15" t="s">
        <v>27</v>
      </c>
      <c r="C51" s="15" t="s">
        <v>28</v>
      </c>
      <c r="D51" s="15" t="s">
        <v>550</v>
      </c>
      <c r="E51" s="15" t="s">
        <v>576</v>
      </c>
      <c r="F51" s="15" t="s">
        <v>9</v>
      </c>
      <c r="G51" s="15" t="s">
        <v>400</v>
      </c>
      <c r="H51" s="15" t="n">
        <v>10</v>
      </c>
      <c r="I51" s="15" t="n">
        <v>10</v>
      </c>
      <c r="J51" s="15" t="n">
        <v>0</v>
      </c>
      <c r="K51" s="15" t="n">
        <v>0</v>
      </c>
      <c r="L51" s="15" t="n">
        <v>28</v>
      </c>
      <c r="M51" s="15" t="n">
        <v>17</v>
      </c>
      <c r="N51" s="15" t="n">
        <v>17</v>
      </c>
      <c r="O51" s="15" t="s">
        <v>581</v>
      </c>
      <c r="P51" s="15" t="s">
        <v>655</v>
      </c>
    </row>
    <row r="52" customFormat="false" ht="23.85" hidden="false" customHeight="false" outlineLevel="0" collapsed="false">
      <c r="A52" s="3" t="n">
        <v>1905</v>
      </c>
      <c r="B52" s="3" t="s">
        <v>26</v>
      </c>
      <c r="C52" s="3" t="s">
        <v>30</v>
      </c>
      <c r="D52" s="3" t="s">
        <v>427</v>
      </c>
      <c r="E52" s="3" t="s">
        <v>576</v>
      </c>
      <c r="F52" s="3" t="s">
        <v>31</v>
      </c>
      <c r="G52" s="3" t="s">
        <v>400</v>
      </c>
      <c r="H52" s="3" t="n">
        <v>8</v>
      </c>
      <c r="I52" s="3" t="n">
        <v>8</v>
      </c>
      <c r="J52" s="3" t="n">
        <v>0</v>
      </c>
      <c r="K52" s="3" t="n">
        <v>2</v>
      </c>
      <c r="L52" s="3" t="n">
        <v>33</v>
      </c>
      <c r="M52" s="3" t="n">
        <v>23</v>
      </c>
      <c r="N52" s="3" t="n">
        <v>23</v>
      </c>
      <c r="O52" s="3"/>
      <c r="P52" s="3" t="s">
        <v>656</v>
      </c>
    </row>
    <row r="53" customFormat="false" ht="23.85" hidden="false" customHeight="false" outlineLevel="0" collapsed="false">
      <c r="A53" s="3" t="n">
        <v>1906</v>
      </c>
      <c r="B53" s="3" t="s">
        <v>26</v>
      </c>
      <c r="C53" s="3" t="s">
        <v>55</v>
      </c>
      <c r="D53" s="3" t="s">
        <v>615</v>
      </c>
      <c r="E53" s="3" t="s">
        <v>576</v>
      </c>
      <c r="F53" s="3" t="s">
        <v>9</v>
      </c>
      <c r="G53" s="3" t="s">
        <v>406</v>
      </c>
      <c r="H53" s="3" t="n">
        <v>5</v>
      </c>
      <c r="I53" s="3" t="n">
        <v>5</v>
      </c>
      <c r="J53" s="3" t="n">
        <v>0</v>
      </c>
      <c r="K53" s="3" t="n">
        <v>0</v>
      </c>
      <c r="L53" s="3" t="n">
        <v>29</v>
      </c>
      <c r="M53" s="3" t="n">
        <v>0</v>
      </c>
      <c r="N53" s="3" t="n">
        <v>0</v>
      </c>
      <c r="O53" s="3"/>
      <c r="P53" s="3" t="s">
        <v>657</v>
      </c>
    </row>
    <row r="54" customFormat="false" ht="23.85" hidden="false" customHeight="false" outlineLevel="0" collapsed="false">
      <c r="A54" s="3" t="n">
        <v>1906</v>
      </c>
      <c r="B54" s="3" t="s">
        <v>11</v>
      </c>
      <c r="C54" s="3" t="s">
        <v>33</v>
      </c>
      <c r="D54" s="3" t="s">
        <v>463</v>
      </c>
      <c r="E54" s="3" t="s">
        <v>576</v>
      </c>
      <c r="F54" s="3" t="s">
        <v>34</v>
      </c>
      <c r="G54" s="3" t="s">
        <v>402</v>
      </c>
      <c r="H54" s="3" t="n">
        <v>3</v>
      </c>
      <c r="I54" s="3" t="n">
        <v>3</v>
      </c>
      <c r="J54" s="3" t="n">
        <v>0</v>
      </c>
      <c r="K54" s="3" t="n">
        <v>1</v>
      </c>
      <c r="L54" s="3" t="n">
        <v>22</v>
      </c>
      <c r="M54" s="3" t="n">
        <v>12</v>
      </c>
      <c r="N54" s="3" t="n">
        <v>11</v>
      </c>
      <c r="O54" s="3"/>
      <c r="P54" s="3" t="s">
        <v>658</v>
      </c>
    </row>
    <row r="55" customFormat="false" ht="23.85" hidden="false" customHeight="false" outlineLevel="0" collapsed="false">
      <c r="A55" s="3" t="n">
        <v>1906</v>
      </c>
      <c r="B55" s="3" t="s">
        <v>36</v>
      </c>
      <c r="C55" s="3" t="s">
        <v>37</v>
      </c>
      <c r="D55" s="3" t="s">
        <v>617</v>
      </c>
      <c r="E55" s="3" t="s">
        <v>576</v>
      </c>
      <c r="F55" s="3" t="s">
        <v>9</v>
      </c>
      <c r="G55" s="3" t="s">
        <v>406</v>
      </c>
      <c r="H55" s="3" t="n">
        <v>6</v>
      </c>
      <c r="I55" s="3" t="n">
        <v>6</v>
      </c>
      <c r="J55" s="3" t="n">
        <v>0</v>
      </c>
      <c r="K55" s="3" t="n">
        <v>0</v>
      </c>
      <c r="L55" s="3" t="n">
        <v>30</v>
      </c>
      <c r="M55" s="3" t="n">
        <v>0</v>
      </c>
      <c r="N55" s="3" t="n">
        <v>0</v>
      </c>
      <c r="O55" s="3"/>
      <c r="P55" s="3" t="s">
        <v>659</v>
      </c>
    </row>
    <row r="56" customFormat="false" ht="23.85" hidden="false" customHeight="false" outlineLevel="0" collapsed="false">
      <c r="A56" s="15" t="n">
        <v>1906</v>
      </c>
      <c r="B56" s="15" t="s">
        <v>40</v>
      </c>
      <c r="C56" s="15" t="s">
        <v>41</v>
      </c>
      <c r="D56" s="15" t="s">
        <v>444</v>
      </c>
      <c r="E56" s="15"/>
      <c r="F56" s="15" t="s">
        <v>13</v>
      </c>
      <c r="G56" s="15" t="s">
        <v>402</v>
      </c>
      <c r="H56" s="15" t="n">
        <v>7</v>
      </c>
      <c r="I56" s="15" t="n">
        <v>7</v>
      </c>
      <c r="J56" s="15" t="n">
        <v>0</v>
      </c>
      <c r="K56" s="15" t="n">
        <v>0</v>
      </c>
      <c r="L56" s="15" t="n">
        <v>49</v>
      </c>
      <c r="M56" s="15" t="n">
        <v>48</v>
      </c>
      <c r="N56" s="15" t="n">
        <v>48</v>
      </c>
      <c r="O56" s="15" t="s">
        <v>581</v>
      </c>
      <c r="P56" s="15" t="s">
        <v>660</v>
      </c>
    </row>
    <row r="57" customFormat="false" ht="23.85" hidden="false" customHeight="false" outlineLevel="0" collapsed="false">
      <c r="A57" s="3" t="n">
        <v>1906</v>
      </c>
      <c r="B57" s="3" t="s">
        <v>42</v>
      </c>
      <c r="C57" s="3" t="s">
        <v>43</v>
      </c>
      <c r="D57" s="3" t="s">
        <v>661</v>
      </c>
      <c r="E57" s="3"/>
      <c r="F57" s="3" t="s">
        <v>31</v>
      </c>
      <c r="G57" s="3" t="s">
        <v>402</v>
      </c>
      <c r="H57" s="3" t="n">
        <v>18</v>
      </c>
      <c r="I57" s="3" t="n">
        <v>17</v>
      </c>
      <c r="J57" s="3" t="n">
        <v>1</v>
      </c>
      <c r="K57" s="3" t="n">
        <v>9</v>
      </c>
      <c r="L57" s="3" t="n">
        <v>46</v>
      </c>
      <c r="M57" s="3" t="n">
        <v>46</v>
      </c>
      <c r="N57" s="3" t="n">
        <v>46</v>
      </c>
      <c r="O57" s="3"/>
      <c r="P57" s="3" t="s">
        <v>662</v>
      </c>
    </row>
    <row r="58" customFormat="false" ht="46.25" hidden="false" customHeight="false" outlineLevel="0" collapsed="false">
      <c r="A58" s="3" t="n">
        <v>1906</v>
      </c>
      <c r="B58" s="3" t="s">
        <v>7</v>
      </c>
      <c r="C58" s="3" t="s">
        <v>45</v>
      </c>
      <c r="D58" s="3" t="s">
        <v>663</v>
      </c>
      <c r="E58" s="3"/>
      <c r="F58" s="3" t="s">
        <v>9</v>
      </c>
      <c r="G58" s="3" t="s">
        <v>400</v>
      </c>
      <c r="H58" s="3" t="n">
        <v>26</v>
      </c>
      <c r="I58" s="3" t="n">
        <v>21</v>
      </c>
      <c r="J58" s="3" t="n">
        <v>5</v>
      </c>
      <c r="K58" s="3" t="n">
        <v>1</v>
      </c>
      <c r="L58" s="3" t="n">
        <v>49</v>
      </c>
      <c r="M58" s="3" t="n">
        <v>49</v>
      </c>
      <c r="N58" s="3" t="n">
        <v>49</v>
      </c>
      <c r="O58" s="3"/>
      <c r="P58" s="3" t="s">
        <v>664</v>
      </c>
    </row>
    <row r="59" customFormat="false" ht="35.05" hidden="false" customHeight="false" outlineLevel="0" collapsed="false">
      <c r="A59" s="3" t="n">
        <v>1906</v>
      </c>
      <c r="B59" s="3" t="s">
        <v>48</v>
      </c>
      <c r="C59" s="3" t="s">
        <v>49</v>
      </c>
      <c r="D59" s="3" t="s">
        <v>626</v>
      </c>
      <c r="E59" s="3" t="s">
        <v>665</v>
      </c>
      <c r="F59" s="3" t="s">
        <v>9</v>
      </c>
      <c r="G59" s="3" t="s">
        <v>406</v>
      </c>
      <c r="H59" s="3" t="n">
        <v>2</v>
      </c>
      <c r="I59" s="3" t="n">
        <v>2</v>
      </c>
      <c r="J59" s="3" t="n">
        <v>0</v>
      </c>
      <c r="K59" s="3" t="n">
        <v>0</v>
      </c>
      <c r="L59" s="3" t="n">
        <v>30</v>
      </c>
      <c r="M59" s="3" t="n">
        <v>0</v>
      </c>
      <c r="N59" s="3" t="n">
        <v>0</v>
      </c>
      <c r="O59" s="3"/>
      <c r="P59" s="3" t="s">
        <v>666</v>
      </c>
    </row>
    <row r="60" customFormat="false" ht="35.05" hidden="false" customHeight="false" outlineLevel="0" collapsed="false">
      <c r="A60" s="3" t="n">
        <v>1906</v>
      </c>
      <c r="B60" s="3" t="s">
        <v>23</v>
      </c>
      <c r="C60" s="3" t="s">
        <v>51</v>
      </c>
      <c r="D60" s="3" t="s">
        <v>439</v>
      </c>
      <c r="E60" s="3" t="s">
        <v>643</v>
      </c>
      <c r="F60" s="3" t="s">
        <v>31</v>
      </c>
      <c r="G60" s="3" t="s">
        <v>402</v>
      </c>
      <c r="H60" s="3" t="n">
        <v>27</v>
      </c>
      <c r="I60" s="3" t="n">
        <v>26</v>
      </c>
      <c r="J60" s="3" t="n">
        <v>1</v>
      </c>
      <c r="K60" s="3" t="n">
        <v>5</v>
      </c>
      <c r="L60" s="3" t="n">
        <v>7</v>
      </c>
      <c r="M60" s="3" t="n">
        <v>1</v>
      </c>
      <c r="N60" s="3" t="n">
        <v>1</v>
      </c>
      <c r="O60" s="3"/>
      <c r="P60" s="3" t="s">
        <v>667</v>
      </c>
    </row>
    <row r="61" customFormat="false" ht="23.85" hidden="false" customHeight="false" outlineLevel="0" collapsed="false">
      <c r="A61" s="3" t="n">
        <v>1906</v>
      </c>
      <c r="B61" s="3" t="s">
        <v>53</v>
      </c>
      <c r="C61" s="3" t="s">
        <v>54</v>
      </c>
      <c r="D61" s="3"/>
      <c r="E61" s="3" t="s">
        <v>668</v>
      </c>
      <c r="F61" s="3" t="s">
        <v>13</v>
      </c>
      <c r="G61" s="3" t="s">
        <v>410</v>
      </c>
      <c r="H61" s="3" t="n">
        <v>15</v>
      </c>
      <c r="I61" s="3" t="n">
        <v>12</v>
      </c>
      <c r="J61" s="3" t="n">
        <v>3</v>
      </c>
      <c r="K61" s="3" t="n">
        <v>0</v>
      </c>
      <c r="L61" s="3" t="n">
        <v>0</v>
      </c>
      <c r="M61" s="3" t="n">
        <v>0</v>
      </c>
      <c r="N61" s="3" t="n">
        <v>0</v>
      </c>
      <c r="O61" s="3"/>
      <c r="P61" s="3" t="s">
        <v>669</v>
      </c>
    </row>
    <row r="62" customFormat="false" ht="23.85" hidden="false" customHeight="false" outlineLevel="0" collapsed="false">
      <c r="A62" s="15" t="n">
        <v>1917</v>
      </c>
      <c r="B62" s="15" t="s">
        <v>23</v>
      </c>
      <c r="C62" s="15" t="s">
        <v>163</v>
      </c>
      <c r="D62" s="15" t="s">
        <v>439</v>
      </c>
      <c r="E62" s="15" t="s">
        <v>580</v>
      </c>
      <c r="F62" s="15" t="s">
        <v>34</v>
      </c>
      <c r="G62" s="15" t="s">
        <v>402</v>
      </c>
      <c r="H62" s="15" t="n">
        <v>3</v>
      </c>
      <c r="I62" s="15" t="n">
        <v>3</v>
      </c>
      <c r="J62" s="15" t="n">
        <v>0</v>
      </c>
      <c r="K62" s="15" t="n">
        <v>0</v>
      </c>
      <c r="L62" s="15" t="n">
        <v>24</v>
      </c>
      <c r="M62" s="15" t="n">
        <v>2</v>
      </c>
      <c r="N62" s="15" t="n">
        <v>2</v>
      </c>
      <c r="O62" s="15" t="s">
        <v>581</v>
      </c>
      <c r="P62" s="15" t="s">
        <v>670</v>
      </c>
    </row>
    <row r="63" customFormat="false" ht="23.85" hidden="false" customHeight="false" outlineLevel="0" collapsed="false">
      <c r="A63" s="3" t="n">
        <v>1917</v>
      </c>
      <c r="B63" s="3" t="s">
        <v>194</v>
      </c>
      <c r="C63" s="3" t="s">
        <v>195</v>
      </c>
      <c r="D63" s="3"/>
      <c r="E63" s="3" t="s">
        <v>671</v>
      </c>
      <c r="F63" s="3" t="s">
        <v>13</v>
      </c>
      <c r="G63" s="3" t="s">
        <v>410</v>
      </c>
      <c r="H63" s="3" t="n">
        <v>10</v>
      </c>
      <c r="I63" s="3" t="n">
        <v>9</v>
      </c>
      <c r="J63" s="3" t="n">
        <v>1</v>
      </c>
      <c r="K63" s="3" t="n">
        <v>0</v>
      </c>
      <c r="L63" s="3" t="n">
        <v>0</v>
      </c>
      <c r="M63" s="3" t="n">
        <v>0</v>
      </c>
      <c r="N63" s="3" t="n">
        <v>0</v>
      </c>
      <c r="O63" s="3"/>
      <c r="P63" s="3" t="s">
        <v>672</v>
      </c>
    </row>
    <row r="64" customFormat="false" ht="23.85" hidden="false" customHeight="false" outlineLevel="0" collapsed="false">
      <c r="A64" s="3" t="n">
        <v>1917</v>
      </c>
      <c r="B64" s="3" t="s">
        <v>53</v>
      </c>
      <c r="C64" s="3" t="s">
        <v>196</v>
      </c>
      <c r="D64" s="3" t="s">
        <v>439</v>
      </c>
      <c r="E64" s="3" t="s">
        <v>596</v>
      </c>
      <c r="F64" s="3" t="s">
        <v>31</v>
      </c>
      <c r="G64" s="3" t="s">
        <v>402</v>
      </c>
      <c r="H64" s="3" t="n">
        <v>5</v>
      </c>
      <c r="I64" s="3" t="n">
        <v>5</v>
      </c>
      <c r="J64" s="3" t="n">
        <v>0</v>
      </c>
      <c r="K64" s="3" t="n">
        <v>1</v>
      </c>
      <c r="L64" s="3" t="n">
        <v>25</v>
      </c>
      <c r="M64" s="3" t="n">
        <v>6</v>
      </c>
      <c r="N64" s="3" t="n">
        <v>6</v>
      </c>
      <c r="O64" s="3"/>
      <c r="P64" s="3" t="s">
        <v>673</v>
      </c>
    </row>
    <row r="65" customFormat="false" ht="35.05" hidden="false" customHeight="false" outlineLevel="0" collapsed="false">
      <c r="A65" s="3" t="n">
        <v>1917</v>
      </c>
      <c r="B65" s="3" t="s">
        <v>53</v>
      </c>
      <c r="C65" s="3" t="s">
        <v>161</v>
      </c>
      <c r="D65" s="3" t="s">
        <v>623</v>
      </c>
      <c r="E65" s="3" t="s">
        <v>674</v>
      </c>
      <c r="F65" s="3" t="s">
        <v>9</v>
      </c>
      <c r="G65" s="3" t="s">
        <v>406</v>
      </c>
      <c r="H65" s="3" t="n">
        <v>15</v>
      </c>
      <c r="I65" s="3" t="n">
        <v>12</v>
      </c>
      <c r="J65" s="3" t="n">
        <v>3</v>
      </c>
      <c r="K65" s="3" t="n">
        <v>0</v>
      </c>
      <c r="L65" s="3" t="n">
        <v>30</v>
      </c>
      <c r="M65" s="3" t="n">
        <v>0</v>
      </c>
      <c r="N65" s="3" t="n">
        <v>0</v>
      </c>
      <c r="O65" s="3"/>
      <c r="P65" s="3" t="s">
        <v>675</v>
      </c>
    </row>
    <row r="66" customFormat="false" ht="23.85" hidden="false" customHeight="false" outlineLevel="0" collapsed="false">
      <c r="A66" s="3" t="n">
        <v>1917</v>
      </c>
      <c r="B66" s="3" t="s">
        <v>23</v>
      </c>
      <c r="C66" s="3" t="s">
        <v>199</v>
      </c>
      <c r="D66" s="3" t="s">
        <v>653</v>
      </c>
      <c r="E66" s="3" t="s">
        <v>676</v>
      </c>
      <c r="F66" s="3" t="s">
        <v>9</v>
      </c>
      <c r="G66" s="3" t="s">
        <v>406</v>
      </c>
      <c r="H66" s="3" t="n">
        <v>8</v>
      </c>
      <c r="I66" s="3" t="n">
        <v>7</v>
      </c>
      <c r="J66" s="3" t="n">
        <v>1</v>
      </c>
      <c r="K66" s="3" t="n">
        <v>0</v>
      </c>
      <c r="L66" s="3" t="n">
        <v>2</v>
      </c>
      <c r="M66" s="3" t="n">
        <v>0</v>
      </c>
      <c r="N66" s="3" t="n">
        <v>0</v>
      </c>
      <c r="O66" s="3"/>
      <c r="P66" s="3" t="s">
        <v>677</v>
      </c>
    </row>
    <row r="67" customFormat="false" ht="23.85" hidden="false" customHeight="false" outlineLevel="0" collapsed="false">
      <c r="A67" s="15" t="n">
        <v>1917</v>
      </c>
      <c r="B67" s="15" t="s">
        <v>23</v>
      </c>
      <c r="C67" s="15" t="s">
        <v>201</v>
      </c>
      <c r="D67" s="15" t="s">
        <v>476</v>
      </c>
      <c r="E67" s="15" t="s">
        <v>586</v>
      </c>
      <c r="F67" s="15" t="s">
        <v>9</v>
      </c>
      <c r="G67" s="15" t="s">
        <v>402</v>
      </c>
      <c r="H67" s="15" t="n">
        <v>5</v>
      </c>
      <c r="I67" s="15" t="n">
        <v>5</v>
      </c>
      <c r="J67" s="15" t="n">
        <v>0</v>
      </c>
      <c r="K67" s="15" t="n">
        <v>0</v>
      </c>
      <c r="L67" s="15" t="n">
        <v>7</v>
      </c>
      <c r="M67" s="15" t="n">
        <v>1</v>
      </c>
      <c r="N67" s="15" t="n">
        <v>1</v>
      </c>
      <c r="O67" s="15" t="s">
        <v>581</v>
      </c>
      <c r="P67" s="15" t="s">
        <v>678</v>
      </c>
    </row>
    <row r="68" customFormat="false" ht="23.85" hidden="false" customHeight="false" outlineLevel="0" collapsed="false">
      <c r="A68" s="3" t="n">
        <v>1917</v>
      </c>
      <c r="B68" s="3" t="s">
        <v>190</v>
      </c>
      <c r="C68" s="3" t="s">
        <v>191</v>
      </c>
      <c r="D68" s="3" t="s">
        <v>422</v>
      </c>
      <c r="E68" s="3" t="s">
        <v>598</v>
      </c>
      <c r="F68" s="3" t="s">
        <v>9</v>
      </c>
      <c r="G68" s="3" t="s">
        <v>400</v>
      </c>
      <c r="H68" s="3" t="n">
        <v>22</v>
      </c>
      <c r="I68" s="3" t="n">
        <v>22</v>
      </c>
      <c r="J68" s="3" t="n">
        <v>0</v>
      </c>
      <c r="K68" s="3" t="n">
        <v>7</v>
      </c>
      <c r="L68" s="3" t="n">
        <v>56</v>
      </c>
      <c r="M68" s="3" t="n">
        <v>46</v>
      </c>
      <c r="N68" s="3" t="n">
        <v>46</v>
      </c>
      <c r="O68" s="3"/>
      <c r="P68" s="3" t="s">
        <v>679</v>
      </c>
    </row>
    <row r="69" customFormat="false" ht="23.85" hidden="false" customHeight="false" outlineLevel="0" collapsed="false">
      <c r="A69" s="15" t="n">
        <v>1917</v>
      </c>
      <c r="B69" s="15" t="s">
        <v>53</v>
      </c>
      <c r="C69" s="15" t="s">
        <v>203</v>
      </c>
      <c r="D69" s="15" t="s">
        <v>436</v>
      </c>
      <c r="E69" s="15" t="s">
        <v>643</v>
      </c>
      <c r="F69" s="15" t="s">
        <v>13</v>
      </c>
      <c r="G69" s="15" t="s">
        <v>402</v>
      </c>
      <c r="H69" s="15" t="n">
        <v>3</v>
      </c>
      <c r="I69" s="15" t="n">
        <v>1</v>
      </c>
      <c r="J69" s="15" t="n">
        <v>2</v>
      </c>
      <c r="K69" s="15" t="n">
        <v>0</v>
      </c>
      <c r="L69" s="15" t="n">
        <v>20</v>
      </c>
      <c r="M69" s="15" t="n">
        <v>10</v>
      </c>
      <c r="N69" s="15" t="n">
        <v>10</v>
      </c>
      <c r="O69" s="15" t="s">
        <v>581</v>
      </c>
      <c r="P69" s="15" t="s">
        <v>680</v>
      </c>
    </row>
    <row r="70" customFormat="false" ht="23.85" hidden="false" customHeight="false" outlineLevel="0" collapsed="false">
      <c r="A70" s="3" t="n">
        <v>1925</v>
      </c>
      <c r="B70" s="3" t="s">
        <v>313</v>
      </c>
      <c r="C70" s="3" t="s">
        <v>339</v>
      </c>
      <c r="D70" s="3" t="s">
        <v>615</v>
      </c>
      <c r="E70" s="3" t="s">
        <v>681</v>
      </c>
      <c r="F70" s="3" t="s">
        <v>9</v>
      </c>
      <c r="G70" s="3" t="s">
        <v>406</v>
      </c>
      <c r="H70" s="3" t="n">
        <v>24</v>
      </c>
      <c r="I70" s="3" t="n">
        <v>24</v>
      </c>
      <c r="J70" s="3" t="n">
        <v>0</v>
      </c>
      <c r="K70" s="3" t="n">
        <v>0</v>
      </c>
      <c r="L70" s="3" t="n">
        <v>29</v>
      </c>
      <c r="M70" s="3" t="n">
        <v>0</v>
      </c>
      <c r="N70" s="3" t="n">
        <v>0</v>
      </c>
      <c r="O70" s="3"/>
      <c r="P70" s="3" t="s">
        <v>682</v>
      </c>
    </row>
    <row r="71" customFormat="false" ht="23.85" hidden="false" customHeight="false" outlineLevel="0" collapsed="false">
      <c r="A71" s="3" t="n">
        <v>1925</v>
      </c>
      <c r="B71" s="3" t="s">
        <v>102</v>
      </c>
      <c r="C71" s="3" t="s">
        <v>341</v>
      </c>
      <c r="D71" s="3" t="s">
        <v>473</v>
      </c>
      <c r="E71" s="3" t="s">
        <v>574</v>
      </c>
      <c r="F71" s="3" t="s">
        <v>9</v>
      </c>
      <c r="G71" s="3" t="s">
        <v>404</v>
      </c>
      <c r="H71" s="3" t="n">
        <v>54</v>
      </c>
      <c r="I71" s="3" t="n">
        <v>54</v>
      </c>
      <c r="J71" s="3" t="n">
        <v>0</v>
      </c>
      <c r="K71" s="3" t="n">
        <v>6</v>
      </c>
      <c r="L71" s="3" t="n">
        <v>49</v>
      </c>
      <c r="M71" s="3" t="n">
        <v>24</v>
      </c>
      <c r="N71" s="3" t="n">
        <v>24</v>
      </c>
      <c r="O71" s="3"/>
      <c r="P71" s="3" t="s">
        <v>683</v>
      </c>
    </row>
    <row r="72" customFormat="false" ht="23.85" hidden="false" customHeight="false" outlineLevel="0" collapsed="false">
      <c r="A72" s="3" t="n">
        <v>1925</v>
      </c>
      <c r="B72" s="3" t="s">
        <v>313</v>
      </c>
      <c r="C72" s="3" t="s">
        <v>343</v>
      </c>
      <c r="D72" s="3"/>
      <c r="E72" s="3" t="s">
        <v>576</v>
      </c>
      <c r="F72" s="3" t="s">
        <v>34</v>
      </c>
      <c r="G72" s="3" t="s">
        <v>410</v>
      </c>
      <c r="H72" s="3" t="n">
        <v>9</v>
      </c>
      <c r="I72" s="3" t="n">
        <v>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/>
      <c r="P72" s="3" t="s">
        <v>684</v>
      </c>
    </row>
    <row r="73" customFormat="false" ht="23.85" hidden="false" customHeight="false" outlineLevel="0" collapsed="false">
      <c r="A73" s="3" t="n">
        <v>1925</v>
      </c>
      <c r="B73" s="3" t="s">
        <v>102</v>
      </c>
      <c r="C73" s="3" t="s">
        <v>345</v>
      </c>
      <c r="D73" s="3" t="s">
        <v>607</v>
      </c>
      <c r="E73" s="3" t="s">
        <v>578</v>
      </c>
      <c r="F73" s="3" t="s">
        <v>34</v>
      </c>
      <c r="G73" s="3" t="s">
        <v>406</v>
      </c>
      <c r="H73" s="3" t="n">
        <v>5</v>
      </c>
      <c r="I73" s="3" t="n">
        <v>5</v>
      </c>
      <c r="J73" s="3" t="n">
        <v>0</v>
      </c>
      <c r="K73" s="3" t="n">
        <v>0</v>
      </c>
      <c r="L73" s="3" t="n">
        <v>29</v>
      </c>
      <c r="M73" s="3" t="n">
        <v>0</v>
      </c>
      <c r="N73" s="3" t="n">
        <v>0</v>
      </c>
      <c r="O73" s="3"/>
      <c r="P73" s="3" t="s">
        <v>685</v>
      </c>
    </row>
    <row r="74" customFormat="false" ht="23.85" hidden="false" customHeight="false" outlineLevel="0" collapsed="false">
      <c r="A74" s="3" t="n">
        <v>1925</v>
      </c>
      <c r="B74" s="3" t="s">
        <v>322</v>
      </c>
      <c r="C74" s="3" t="s">
        <v>323</v>
      </c>
      <c r="D74" s="3" t="s">
        <v>686</v>
      </c>
      <c r="E74" s="3" t="s">
        <v>676</v>
      </c>
      <c r="F74" s="3" t="s">
        <v>31</v>
      </c>
      <c r="G74" s="3" t="s">
        <v>408</v>
      </c>
      <c r="H74" s="3" t="n">
        <v>16</v>
      </c>
      <c r="I74" s="3" t="n">
        <v>16</v>
      </c>
      <c r="J74" s="3" t="n">
        <v>0</v>
      </c>
      <c r="K74" s="3" t="n">
        <v>10</v>
      </c>
      <c r="L74" s="3" t="n">
        <v>2</v>
      </c>
      <c r="M74" s="3" t="n">
        <v>0</v>
      </c>
      <c r="N74" s="3" t="n">
        <v>0</v>
      </c>
      <c r="O74" s="3"/>
      <c r="P74" s="3" t="s">
        <v>687</v>
      </c>
    </row>
    <row r="75" customFormat="false" ht="35.05" hidden="false" customHeight="false" outlineLevel="0" collapsed="false">
      <c r="A75" s="3" t="n">
        <v>1925</v>
      </c>
      <c r="B75" s="3" t="s">
        <v>53</v>
      </c>
      <c r="C75" s="3" t="s">
        <v>325</v>
      </c>
      <c r="D75" s="3" t="s">
        <v>456</v>
      </c>
      <c r="E75" s="3" t="s">
        <v>674</v>
      </c>
      <c r="F75" s="3" t="s">
        <v>9</v>
      </c>
      <c r="G75" s="3" t="s">
        <v>402</v>
      </c>
      <c r="H75" s="3" t="n">
        <v>6</v>
      </c>
      <c r="I75" s="3" t="n">
        <v>5</v>
      </c>
      <c r="J75" s="3" t="n">
        <v>1</v>
      </c>
      <c r="K75" s="3" t="n">
        <v>1</v>
      </c>
      <c r="L75" s="3" t="n">
        <v>56</v>
      </c>
      <c r="M75" s="3" t="n">
        <v>45</v>
      </c>
      <c r="N75" s="3" t="n">
        <v>45</v>
      </c>
      <c r="O75" s="3"/>
      <c r="P75" s="3" t="s">
        <v>688</v>
      </c>
    </row>
    <row r="76" customFormat="false" ht="35.05" hidden="false" customHeight="false" outlineLevel="0" collapsed="false">
      <c r="A76" s="15" t="n">
        <v>1925</v>
      </c>
      <c r="B76" s="15" t="s">
        <v>53</v>
      </c>
      <c r="C76" s="15" t="s">
        <v>327</v>
      </c>
      <c r="D76" s="15" t="s">
        <v>456</v>
      </c>
      <c r="E76" s="15" t="s">
        <v>689</v>
      </c>
      <c r="F76" s="15" t="s">
        <v>9</v>
      </c>
      <c r="G76" s="15" t="s">
        <v>402</v>
      </c>
      <c r="H76" s="15" t="n">
        <v>1</v>
      </c>
      <c r="I76" s="15" t="n">
        <v>1</v>
      </c>
      <c r="J76" s="15" t="n">
        <v>0</v>
      </c>
      <c r="K76" s="15" t="n">
        <v>0</v>
      </c>
      <c r="L76" s="15" t="n">
        <v>52</v>
      </c>
      <c r="M76" s="15" t="n">
        <v>47</v>
      </c>
      <c r="N76" s="15" t="n">
        <v>47</v>
      </c>
      <c r="O76" s="15" t="s">
        <v>581</v>
      </c>
      <c r="P76" s="15" t="s">
        <v>690</v>
      </c>
    </row>
    <row r="77" customFormat="false" ht="35.05" hidden="false" customHeight="false" outlineLevel="0" collapsed="false">
      <c r="A77" s="15" t="n">
        <v>1925</v>
      </c>
      <c r="B77" s="15" t="s">
        <v>23</v>
      </c>
      <c r="C77" s="15" t="s">
        <v>329</v>
      </c>
      <c r="D77" s="15" t="s">
        <v>456</v>
      </c>
      <c r="E77" s="15" t="s">
        <v>674</v>
      </c>
      <c r="F77" s="15" t="s">
        <v>13</v>
      </c>
      <c r="G77" s="15" t="s">
        <v>402</v>
      </c>
      <c r="H77" s="15" t="n">
        <v>2</v>
      </c>
      <c r="I77" s="15" t="n">
        <v>1</v>
      </c>
      <c r="J77" s="15" t="n">
        <v>1</v>
      </c>
      <c r="K77" s="15" t="n">
        <v>0</v>
      </c>
      <c r="L77" s="15" t="n">
        <v>56</v>
      </c>
      <c r="M77" s="15" t="n">
        <v>45</v>
      </c>
      <c r="N77" s="15" t="n">
        <v>45</v>
      </c>
      <c r="O77" s="15" t="s">
        <v>581</v>
      </c>
      <c r="P77" s="15" t="s">
        <v>691</v>
      </c>
    </row>
    <row r="78" customFormat="false" ht="35.05" hidden="false" customHeight="false" outlineLevel="0" collapsed="false">
      <c r="A78" s="15" t="n">
        <v>1925</v>
      </c>
      <c r="B78" s="15" t="s">
        <v>23</v>
      </c>
      <c r="C78" s="15" t="s">
        <v>330</v>
      </c>
      <c r="D78" s="15" t="s">
        <v>456</v>
      </c>
      <c r="E78" s="15" t="s">
        <v>594</v>
      </c>
      <c r="F78" s="15" t="s">
        <v>9</v>
      </c>
      <c r="G78" s="15" t="s">
        <v>402</v>
      </c>
      <c r="H78" s="15" t="n">
        <v>1</v>
      </c>
      <c r="I78" s="15" t="n">
        <v>1</v>
      </c>
      <c r="J78" s="15" t="n">
        <v>0</v>
      </c>
      <c r="K78" s="15" t="n">
        <v>0</v>
      </c>
      <c r="L78" s="15" t="n">
        <v>56</v>
      </c>
      <c r="M78" s="15" t="n">
        <v>45</v>
      </c>
      <c r="N78" s="15" t="n">
        <v>45</v>
      </c>
      <c r="O78" s="15" t="s">
        <v>581</v>
      </c>
      <c r="P78" s="15" t="s">
        <v>692</v>
      </c>
    </row>
    <row r="79" customFormat="false" ht="23.85" hidden="false" customHeight="false" outlineLevel="0" collapsed="false">
      <c r="A79" s="3" t="n">
        <v>1925</v>
      </c>
      <c r="B79" s="3" t="s">
        <v>334</v>
      </c>
      <c r="C79" s="3" t="s">
        <v>335</v>
      </c>
      <c r="D79" s="3"/>
      <c r="E79" s="3" t="s">
        <v>693</v>
      </c>
      <c r="F79" s="3" t="s">
        <v>34</v>
      </c>
      <c r="G79" s="3" t="s">
        <v>410</v>
      </c>
      <c r="H79" s="3" t="n">
        <v>7</v>
      </c>
      <c r="I79" s="3" t="n">
        <v>7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/>
      <c r="P79" s="3" t="s">
        <v>694</v>
      </c>
    </row>
    <row r="80" customFormat="false" ht="35.05" hidden="false" customHeight="false" outlineLevel="0" collapsed="false">
      <c r="A80" s="3" t="n">
        <v>1925</v>
      </c>
      <c r="B80" s="3" t="s">
        <v>319</v>
      </c>
      <c r="C80" s="3" t="s">
        <v>320</v>
      </c>
      <c r="D80" s="3"/>
      <c r="E80" s="3" t="s">
        <v>693</v>
      </c>
      <c r="F80" s="3" t="s">
        <v>34</v>
      </c>
      <c r="G80" s="3" t="s">
        <v>410</v>
      </c>
      <c r="H80" s="3" t="n">
        <v>5</v>
      </c>
      <c r="I80" s="3" t="n">
        <v>5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/>
      <c r="P80" s="3" t="s">
        <v>695</v>
      </c>
    </row>
    <row r="81" customFormat="false" ht="23.85" hidden="false" customHeight="false" outlineLevel="0" collapsed="false">
      <c r="A81" s="3" t="n">
        <v>1925</v>
      </c>
      <c r="B81" s="3" t="s">
        <v>336</v>
      </c>
      <c r="C81" s="3" t="s">
        <v>337</v>
      </c>
      <c r="D81" s="3" t="s">
        <v>696</v>
      </c>
      <c r="E81" s="3" t="s">
        <v>693</v>
      </c>
      <c r="F81" s="3" t="s">
        <v>31</v>
      </c>
      <c r="G81" s="3" t="s">
        <v>406</v>
      </c>
      <c r="H81" s="3" t="n">
        <v>5</v>
      </c>
      <c r="I81" s="3" t="n">
        <v>5</v>
      </c>
      <c r="J81" s="3" t="n">
        <v>0</v>
      </c>
      <c r="K81" s="3" t="n">
        <v>0</v>
      </c>
      <c r="L81" s="3" t="n">
        <v>28</v>
      </c>
      <c r="M81" s="3" t="n">
        <v>0</v>
      </c>
      <c r="N81" s="3" t="n">
        <v>0</v>
      </c>
      <c r="O81" s="3"/>
      <c r="P81" s="3" t="s">
        <v>697</v>
      </c>
    </row>
    <row r="82" customFormat="false" ht="23.85" hidden="false" customHeight="false" outlineLevel="0" collapsed="false">
      <c r="A82" s="3" t="n">
        <v>1925</v>
      </c>
      <c r="B82" s="3" t="s">
        <v>316</v>
      </c>
      <c r="C82" s="3" t="s">
        <v>317</v>
      </c>
      <c r="D82" s="3" t="s">
        <v>615</v>
      </c>
      <c r="E82" s="3" t="s">
        <v>611</v>
      </c>
      <c r="F82" s="3" t="s">
        <v>9</v>
      </c>
      <c r="G82" s="3" t="s">
        <v>406</v>
      </c>
      <c r="H82" s="3" t="n">
        <v>32</v>
      </c>
      <c r="I82" s="3" t="n">
        <v>32</v>
      </c>
      <c r="J82" s="3" t="n">
        <v>0</v>
      </c>
      <c r="K82" s="3" t="n">
        <v>0</v>
      </c>
      <c r="L82" s="3" t="n">
        <v>29</v>
      </c>
      <c r="M82" s="3" t="n">
        <v>0</v>
      </c>
      <c r="N82" s="3" t="n">
        <v>0</v>
      </c>
      <c r="O82" s="3"/>
      <c r="P82" s="3" t="s">
        <v>698</v>
      </c>
    </row>
    <row r="83" customFormat="false" ht="35.05" hidden="false" customHeight="false" outlineLevel="0" collapsed="false">
      <c r="A83" s="3" t="n">
        <v>1925</v>
      </c>
      <c r="B83" s="3" t="s">
        <v>23</v>
      </c>
      <c r="C83" s="3" t="s">
        <v>305</v>
      </c>
      <c r="D83" s="3"/>
      <c r="E83" s="3" t="s">
        <v>627</v>
      </c>
      <c r="F83" s="3" t="s">
        <v>34</v>
      </c>
      <c r="G83" s="3" t="s">
        <v>410</v>
      </c>
      <c r="H83" s="3" t="n">
        <v>10</v>
      </c>
      <c r="I83" s="3" t="n">
        <v>10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/>
      <c r="P83" s="3" t="s">
        <v>699</v>
      </c>
    </row>
    <row r="84" customFormat="false" ht="35.05" hidden="false" customHeight="false" outlineLevel="0" collapsed="false">
      <c r="A84" s="3" t="n">
        <v>1910</v>
      </c>
      <c r="B84" s="3" t="s">
        <v>7</v>
      </c>
      <c r="C84" s="3" t="s">
        <v>131</v>
      </c>
      <c r="D84" s="3"/>
      <c r="E84" s="3" t="s">
        <v>700</v>
      </c>
      <c r="F84" s="3" t="s">
        <v>34</v>
      </c>
      <c r="G84" s="3" t="s">
        <v>410</v>
      </c>
      <c r="H84" s="3" t="n">
        <v>10</v>
      </c>
      <c r="I84" s="3" t="n">
        <v>9</v>
      </c>
      <c r="J84" s="3" t="n">
        <v>1</v>
      </c>
      <c r="K84" s="3" t="n">
        <v>0</v>
      </c>
      <c r="L84" s="3" t="n">
        <v>0</v>
      </c>
      <c r="M84" s="3" t="n">
        <v>0</v>
      </c>
      <c r="N84" s="3" t="n">
        <v>0</v>
      </c>
      <c r="O84" s="3"/>
      <c r="P84" s="3" t="s">
        <v>701</v>
      </c>
    </row>
    <row r="85" customFormat="false" ht="35.05" hidden="false" customHeight="false" outlineLevel="0" collapsed="false">
      <c r="A85" s="3" t="n">
        <v>1910</v>
      </c>
      <c r="B85" s="3" t="s">
        <v>23</v>
      </c>
      <c r="C85" s="3" t="s">
        <v>137</v>
      </c>
      <c r="D85" s="3"/>
      <c r="E85" s="3" t="s">
        <v>702</v>
      </c>
      <c r="F85" s="3" t="s">
        <v>34</v>
      </c>
      <c r="G85" s="3" t="s">
        <v>410</v>
      </c>
      <c r="H85" s="3" t="n">
        <v>10</v>
      </c>
      <c r="I85" s="3" t="n">
        <v>10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/>
      <c r="P85" s="3" t="s">
        <v>703</v>
      </c>
    </row>
    <row r="86" customFormat="false" ht="35.05" hidden="false" customHeight="false" outlineLevel="0" collapsed="false">
      <c r="A86" s="3" t="n">
        <v>1913</v>
      </c>
      <c r="B86" s="3" t="s">
        <v>149</v>
      </c>
      <c r="C86" s="3" t="s">
        <v>171</v>
      </c>
      <c r="D86" s="3" t="s">
        <v>427</v>
      </c>
      <c r="E86" s="3" t="s">
        <v>676</v>
      </c>
      <c r="F86" s="3" t="s">
        <v>31</v>
      </c>
      <c r="G86" s="3" t="s">
        <v>408</v>
      </c>
      <c r="H86" s="3" t="n">
        <v>7</v>
      </c>
      <c r="I86" s="3" t="n">
        <v>7</v>
      </c>
      <c r="J86" s="3" t="n">
        <v>0</v>
      </c>
      <c r="K86" s="3" t="n">
        <v>2</v>
      </c>
      <c r="L86" s="3" t="n">
        <v>3</v>
      </c>
      <c r="M86" s="3" t="n">
        <v>0</v>
      </c>
      <c r="N86" s="3" t="n">
        <v>0</v>
      </c>
      <c r="O86" s="3"/>
      <c r="P86" s="3" t="s">
        <v>704</v>
      </c>
    </row>
    <row r="87" customFormat="false" ht="23.85" hidden="false" customHeight="false" outlineLevel="0" collapsed="false">
      <c r="A87" s="3" t="n">
        <v>1913</v>
      </c>
      <c r="B87" s="3" t="s">
        <v>63</v>
      </c>
      <c r="C87" s="3" t="s">
        <v>173</v>
      </c>
      <c r="D87" s="3" t="s">
        <v>615</v>
      </c>
      <c r="E87" s="3" t="s">
        <v>637</v>
      </c>
      <c r="F87" s="3" t="s">
        <v>9</v>
      </c>
      <c r="G87" s="3" t="s">
        <v>406</v>
      </c>
      <c r="H87" s="3" t="n">
        <v>34</v>
      </c>
      <c r="I87" s="3" t="n">
        <v>30</v>
      </c>
      <c r="J87" s="3" t="n">
        <v>4</v>
      </c>
      <c r="K87" s="3" t="n">
        <v>0</v>
      </c>
      <c r="L87" s="3" t="n">
        <v>28</v>
      </c>
      <c r="M87" s="3" t="n">
        <v>0</v>
      </c>
      <c r="N87" s="3" t="n">
        <v>0</v>
      </c>
      <c r="O87" s="3"/>
      <c r="P87" s="3" t="s">
        <v>705</v>
      </c>
    </row>
    <row r="88" customFormat="false" ht="23.85" hidden="false" customHeight="false" outlineLevel="0" collapsed="false">
      <c r="A88" s="3" t="n">
        <v>1913</v>
      </c>
      <c r="B88" s="3" t="s">
        <v>23</v>
      </c>
      <c r="C88" s="3" t="s">
        <v>175</v>
      </c>
      <c r="D88" s="3" t="s">
        <v>617</v>
      </c>
      <c r="E88" s="3" t="s">
        <v>668</v>
      </c>
      <c r="F88" s="3" t="s">
        <v>13</v>
      </c>
      <c r="G88" s="3" t="s">
        <v>406</v>
      </c>
      <c r="H88" s="3" t="n">
        <v>5</v>
      </c>
      <c r="I88" s="3" t="n">
        <v>5</v>
      </c>
      <c r="J88" s="3" t="n">
        <v>0</v>
      </c>
      <c r="K88" s="3" t="n">
        <v>0</v>
      </c>
      <c r="L88" s="3" t="n">
        <v>29</v>
      </c>
      <c r="M88" s="3" t="n">
        <v>0</v>
      </c>
      <c r="N88" s="3" t="n">
        <v>0</v>
      </c>
      <c r="O88" s="3"/>
      <c r="P88" s="3" t="s">
        <v>706</v>
      </c>
    </row>
    <row r="89" customFormat="false" ht="23.85" hidden="false" customHeight="false" outlineLevel="0" collapsed="false">
      <c r="A89" s="3" t="n">
        <v>1913</v>
      </c>
      <c r="B89" s="3" t="s">
        <v>168</v>
      </c>
      <c r="C89" s="3" t="s">
        <v>176</v>
      </c>
      <c r="D89" s="3" t="s">
        <v>707</v>
      </c>
      <c r="E89" s="3" t="s">
        <v>627</v>
      </c>
      <c r="F89" s="3" t="s">
        <v>9</v>
      </c>
      <c r="G89" s="3" t="s">
        <v>402</v>
      </c>
      <c r="H89" s="3" t="n">
        <v>31</v>
      </c>
      <c r="I89" s="3" t="n">
        <v>31</v>
      </c>
      <c r="J89" s="3" t="n">
        <v>0</v>
      </c>
      <c r="K89" s="3" t="n">
        <v>1</v>
      </c>
      <c r="L89" s="3" t="n">
        <v>24</v>
      </c>
      <c r="M89" s="3" t="n">
        <v>4</v>
      </c>
      <c r="N89" s="3" t="n">
        <v>4</v>
      </c>
      <c r="O89" s="3"/>
      <c r="P89" s="3" t="s">
        <v>708</v>
      </c>
    </row>
    <row r="90" customFormat="false" ht="23.85" hidden="false" customHeight="false" outlineLevel="0" collapsed="false">
      <c r="A90" s="3" t="n">
        <v>1913</v>
      </c>
      <c r="B90" s="3" t="s">
        <v>177</v>
      </c>
      <c r="C90" s="3" t="s">
        <v>161</v>
      </c>
      <c r="D90" s="3"/>
      <c r="E90" s="3" t="s">
        <v>668</v>
      </c>
      <c r="F90" s="3" t="s">
        <v>178</v>
      </c>
      <c r="G90" s="3" t="s">
        <v>410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/>
      <c r="P90" s="3" t="s">
        <v>709</v>
      </c>
    </row>
    <row r="91" customFormat="false" ht="23.85" hidden="false" customHeight="false" outlineLevel="0" collapsed="false">
      <c r="A91" s="3" t="n">
        <v>1912</v>
      </c>
      <c r="B91" s="3" t="s">
        <v>147</v>
      </c>
      <c r="C91" s="3" t="s">
        <v>148</v>
      </c>
      <c r="D91" s="3"/>
      <c r="E91" s="3"/>
      <c r="F91" s="3" t="s">
        <v>13</v>
      </c>
      <c r="G91" s="3" t="s">
        <v>410</v>
      </c>
      <c r="H91" s="3" t="n">
        <v>4</v>
      </c>
      <c r="I91" s="3" t="n">
        <v>4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/>
      <c r="P91" s="3" t="s">
        <v>710</v>
      </c>
    </row>
    <row r="92" customFormat="false" ht="23.85" hidden="false" customHeight="false" outlineLevel="0" collapsed="false">
      <c r="A92" s="3" t="n">
        <v>1912</v>
      </c>
      <c r="B92" s="3" t="s">
        <v>149</v>
      </c>
      <c r="C92" s="3" t="s">
        <v>150</v>
      </c>
      <c r="D92" s="3" t="s">
        <v>619</v>
      </c>
      <c r="E92" s="3" t="s">
        <v>711</v>
      </c>
      <c r="F92" s="3" t="s">
        <v>9</v>
      </c>
      <c r="G92" s="3" t="s">
        <v>406</v>
      </c>
      <c r="H92" s="3" t="n">
        <v>9</v>
      </c>
      <c r="I92" s="3" t="n">
        <v>9</v>
      </c>
      <c r="J92" s="3" t="n">
        <v>0</v>
      </c>
      <c r="K92" s="3" t="n">
        <v>0</v>
      </c>
      <c r="L92" s="3" t="n">
        <v>30</v>
      </c>
      <c r="M92" s="3" t="n">
        <v>0</v>
      </c>
      <c r="N92" s="3" t="n">
        <v>0</v>
      </c>
      <c r="O92" s="3"/>
      <c r="P92" s="3" t="s">
        <v>712</v>
      </c>
    </row>
    <row r="93" customFormat="false" ht="35.05" hidden="false" customHeight="false" outlineLevel="0" collapsed="false">
      <c r="A93" s="3" t="n">
        <v>1912</v>
      </c>
      <c r="B93" s="3" t="s">
        <v>7</v>
      </c>
      <c r="C93" s="3" t="s">
        <v>153</v>
      </c>
      <c r="D93" s="3" t="s">
        <v>713</v>
      </c>
      <c r="E93" s="3" t="s">
        <v>714</v>
      </c>
      <c r="F93" s="3" t="s">
        <v>31</v>
      </c>
      <c r="G93" s="3" t="s">
        <v>400</v>
      </c>
      <c r="H93" s="3" t="n">
        <v>27</v>
      </c>
      <c r="I93" s="3" t="n">
        <v>25</v>
      </c>
      <c r="J93" s="3" t="n">
        <v>2</v>
      </c>
      <c r="K93" s="3" t="n">
        <v>6</v>
      </c>
      <c r="L93" s="3" t="n">
        <v>26</v>
      </c>
      <c r="M93" s="3" t="n">
        <v>16</v>
      </c>
      <c r="N93" s="3" t="n">
        <v>16</v>
      </c>
      <c r="O93" s="3"/>
      <c r="P93" s="3" t="s">
        <v>715</v>
      </c>
    </row>
    <row r="94" customFormat="false" ht="23.85" hidden="false" customHeight="false" outlineLevel="0" collapsed="false">
      <c r="A94" s="3" t="n">
        <v>1912</v>
      </c>
      <c r="B94" s="3" t="s">
        <v>48</v>
      </c>
      <c r="C94" s="3" t="s">
        <v>157</v>
      </c>
      <c r="D94" s="3" t="s">
        <v>653</v>
      </c>
      <c r="E94" s="3" t="s">
        <v>640</v>
      </c>
      <c r="F94" s="3" t="s">
        <v>9</v>
      </c>
      <c r="G94" s="3" t="s">
        <v>406</v>
      </c>
      <c r="H94" s="3" t="n">
        <v>40</v>
      </c>
      <c r="I94" s="3" t="n">
        <v>39</v>
      </c>
      <c r="J94" s="3" t="n">
        <v>1</v>
      </c>
      <c r="K94" s="3" t="n">
        <v>0</v>
      </c>
      <c r="L94" s="3" t="n">
        <v>27</v>
      </c>
      <c r="M94" s="3" t="n">
        <v>0</v>
      </c>
      <c r="N94" s="3" t="n">
        <v>0</v>
      </c>
      <c r="O94" s="3"/>
      <c r="P94" s="3" t="s">
        <v>716</v>
      </c>
    </row>
    <row r="95" customFormat="false" ht="23.85" hidden="false" customHeight="false" outlineLevel="0" collapsed="false">
      <c r="A95" s="3" t="n">
        <v>1912</v>
      </c>
      <c r="B95" s="3" t="s">
        <v>23</v>
      </c>
      <c r="C95" s="3" t="s">
        <v>161</v>
      </c>
      <c r="D95" s="3"/>
      <c r="E95" s="3" t="s">
        <v>668</v>
      </c>
      <c r="F95" s="3" t="s">
        <v>13</v>
      </c>
      <c r="G95" s="3" t="s">
        <v>410</v>
      </c>
      <c r="H95" s="3" t="n">
        <v>10</v>
      </c>
      <c r="I95" s="3" t="n">
        <v>6</v>
      </c>
      <c r="J95" s="3" t="n">
        <v>4</v>
      </c>
      <c r="K95" s="3" t="n">
        <v>0</v>
      </c>
      <c r="L95" s="3" t="n">
        <v>0</v>
      </c>
      <c r="M95" s="3" t="n">
        <v>0</v>
      </c>
      <c r="N95" s="3" t="n">
        <v>0</v>
      </c>
      <c r="O95" s="3"/>
      <c r="P95" s="3" t="s">
        <v>717</v>
      </c>
    </row>
    <row r="96" customFormat="false" ht="23.85" hidden="false" customHeight="false" outlineLevel="0" collapsed="false">
      <c r="A96" s="15" t="n">
        <v>1912</v>
      </c>
      <c r="B96" s="15" t="s">
        <v>113</v>
      </c>
      <c r="C96" s="15" t="s">
        <v>161</v>
      </c>
      <c r="D96" s="15" t="s">
        <v>447</v>
      </c>
      <c r="E96" s="15" t="s">
        <v>668</v>
      </c>
      <c r="F96" s="15" t="s">
        <v>13</v>
      </c>
      <c r="G96" s="15" t="s">
        <v>402</v>
      </c>
      <c r="H96" s="15" t="n">
        <v>4</v>
      </c>
      <c r="I96" s="15" t="n">
        <v>3</v>
      </c>
      <c r="J96" s="15" t="n">
        <v>1</v>
      </c>
      <c r="K96" s="15" t="n">
        <v>0</v>
      </c>
      <c r="L96" s="15" t="n">
        <v>56</v>
      </c>
      <c r="M96" s="15" t="n">
        <v>42</v>
      </c>
      <c r="N96" s="15" t="n">
        <v>42</v>
      </c>
      <c r="O96" s="15" t="s">
        <v>581</v>
      </c>
      <c r="P96" s="15" t="s">
        <v>718</v>
      </c>
    </row>
    <row r="97" customFormat="false" ht="23.85" hidden="false" customHeight="false" outlineLevel="0" collapsed="false">
      <c r="A97" s="3" t="n">
        <v>1912</v>
      </c>
      <c r="B97" s="3" t="s">
        <v>144</v>
      </c>
      <c r="C97" s="3" t="s">
        <v>145</v>
      </c>
      <c r="D97" s="3" t="s">
        <v>623</v>
      </c>
      <c r="E97" s="3" t="s">
        <v>596</v>
      </c>
      <c r="F97" s="3" t="s">
        <v>9</v>
      </c>
      <c r="G97" s="3" t="s">
        <v>406</v>
      </c>
      <c r="H97" s="3" t="n">
        <v>15</v>
      </c>
      <c r="I97" s="3" t="n">
        <v>14</v>
      </c>
      <c r="J97" s="3" t="n">
        <v>1</v>
      </c>
      <c r="K97" s="3" t="n">
        <v>0</v>
      </c>
      <c r="L97" s="3" t="n">
        <v>30</v>
      </c>
      <c r="M97" s="3" t="n">
        <v>0</v>
      </c>
      <c r="N97" s="3" t="n">
        <v>0</v>
      </c>
      <c r="O97" s="3"/>
      <c r="P97" s="3" t="s">
        <v>719</v>
      </c>
    </row>
    <row r="98" customFormat="false" ht="35.05" hidden="false" customHeight="false" outlineLevel="0" collapsed="false">
      <c r="A98" s="3" t="n">
        <v>1912</v>
      </c>
      <c r="B98" s="3" t="s">
        <v>113</v>
      </c>
      <c r="C98" s="3" t="s">
        <v>165</v>
      </c>
      <c r="D98" s="3" t="s">
        <v>617</v>
      </c>
      <c r="E98" s="3" t="s">
        <v>720</v>
      </c>
      <c r="F98" s="3" t="s">
        <v>9</v>
      </c>
      <c r="G98" s="3" t="s">
        <v>406</v>
      </c>
      <c r="H98" s="3" t="n">
        <v>10</v>
      </c>
      <c r="I98" s="3" t="n">
        <v>10</v>
      </c>
      <c r="J98" s="3" t="n">
        <v>0</v>
      </c>
      <c r="K98" s="3" t="n">
        <v>0</v>
      </c>
      <c r="L98" s="3" t="n">
        <v>29</v>
      </c>
      <c r="M98" s="3" t="n">
        <v>0</v>
      </c>
      <c r="N98" s="3" t="n">
        <v>0</v>
      </c>
      <c r="O98" s="3"/>
      <c r="P98" s="3" t="s">
        <v>721</v>
      </c>
    </row>
    <row r="99" customFormat="false" ht="23.85" hidden="false" customHeight="false" outlineLevel="0" collapsed="false">
      <c r="A99" s="3" t="n">
        <v>1912</v>
      </c>
      <c r="B99" s="3" t="s">
        <v>168</v>
      </c>
      <c r="C99" s="3" t="s">
        <v>169</v>
      </c>
      <c r="D99" s="3" t="s">
        <v>615</v>
      </c>
      <c r="E99" s="3" t="s">
        <v>627</v>
      </c>
      <c r="F99" s="3" t="s">
        <v>9</v>
      </c>
      <c r="G99" s="3" t="s">
        <v>406</v>
      </c>
      <c r="H99" s="3" t="n">
        <v>28</v>
      </c>
      <c r="I99" s="3" t="n">
        <v>28</v>
      </c>
      <c r="J99" s="3" t="n">
        <v>0</v>
      </c>
      <c r="K99" s="3" t="n">
        <v>0</v>
      </c>
      <c r="L99" s="3" t="n">
        <v>27</v>
      </c>
      <c r="M99" s="3" t="n">
        <v>0</v>
      </c>
      <c r="N99" s="3" t="n">
        <v>0</v>
      </c>
      <c r="O99" s="3"/>
      <c r="P99" s="3" t="s">
        <v>722</v>
      </c>
    </row>
    <row r="100" customFormat="false" ht="23.85" hidden="false" customHeight="false" outlineLevel="0" collapsed="false">
      <c r="A100" s="15" t="n">
        <v>1907</v>
      </c>
      <c r="B100" s="15" t="s">
        <v>57</v>
      </c>
      <c r="C100" s="15" t="s">
        <v>58</v>
      </c>
      <c r="D100" s="15" t="s">
        <v>534</v>
      </c>
      <c r="E100" s="15" t="s">
        <v>576</v>
      </c>
      <c r="F100" s="15" t="s">
        <v>9</v>
      </c>
      <c r="G100" s="15" t="s">
        <v>402</v>
      </c>
      <c r="H100" s="15" t="n">
        <v>7</v>
      </c>
      <c r="I100" s="15" t="n">
        <v>7</v>
      </c>
      <c r="J100" s="15" t="n">
        <v>0</v>
      </c>
      <c r="K100" s="15" t="n">
        <v>0</v>
      </c>
      <c r="L100" s="15" t="n">
        <v>53</v>
      </c>
      <c r="M100" s="15" t="n">
        <v>43</v>
      </c>
      <c r="N100" s="15" t="n">
        <v>43</v>
      </c>
      <c r="O100" s="15" t="s">
        <v>581</v>
      </c>
      <c r="P100" s="15" t="s">
        <v>723</v>
      </c>
    </row>
    <row r="101" customFormat="false" ht="23.85" hidden="false" customHeight="false" outlineLevel="0" collapsed="false">
      <c r="A101" s="3" t="n">
        <v>1907</v>
      </c>
      <c r="B101" s="3" t="s">
        <v>7</v>
      </c>
      <c r="C101" s="3" t="s">
        <v>61</v>
      </c>
      <c r="D101" s="3" t="s">
        <v>724</v>
      </c>
      <c r="E101" s="3" t="s">
        <v>725</v>
      </c>
      <c r="F101" s="3" t="s">
        <v>31</v>
      </c>
      <c r="G101" s="3" t="s">
        <v>400</v>
      </c>
      <c r="H101" s="3" t="n">
        <v>9</v>
      </c>
      <c r="I101" s="3" t="n">
        <v>9</v>
      </c>
      <c r="J101" s="3" t="n">
        <v>0</v>
      </c>
      <c r="K101" s="3" t="n">
        <v>2</v>
      </c>
      <c r="L101" s="3" t="n">
        <v>30</v>
      </c>
      <c r="M101" s="3" t="n">
        <v>20</v>
      </c>
      <c r="N101" s="3" t="n">
        <v>19</v>
      </c>
      <c r="O101" s="3"/>
      <c r="P101" s="3" t="s">
        <v>726</v>
      </c>
    </row>
    <row r="102" customFormat="false" ht="23.85" hidden="false" customHeight="false" outlineLevel="0" collapsed="false">
      <c r="A102" s="3" t="n">
        <v>1907</v>
      </c>
      <c r="B102" s="3" t="s">
        <v>70</v>
      </c>
      <c r="C102" s="3" t="s">
        <v>71</v>
      </c>
      <c r="D102" s="3" t="s">
        <v>727</v>
      </c>
      <c r="E102" s="3" t="s">
        <v>576</v>
      </c>
      <c r="F102" s="3" t="s">
        <v>31</v>
      </c>
      <c r="G102" s="3" t="s">
        <v>400</v>
      </c>
      <c r="H102" s="3" t="n">
        <v>1</v>
      </c>
      <c r="I102" s="3" t="n">
        <v>1</v>
      </c>
      <c r="J102" s="3" t="n">
        <v>0</v>
      </c>
      <c r="K102" s="3" t="n">
        <v>1</v>
      </c>
      <c r="L102" s="3" t="n">
        <v>25</v>
      </c>
      <c r="M102" s="3" t="n">
        <v>8</v>
      </c>
      <c r="N102" s="3" t="n">
        <v>7</v>
      </c>
      <c r="O102" s="3"/>
      <c r="P102" s="3" t="s">
        <v>728</v>
      </c>
    </row>
    <row r="103" customFormat="false" ht="35.05" hidden="false" customHeight="false" outlineLevel="0" collapsed="false">
      <c r="A103" s="15" t="n">
        <v>1907</v>
      </c>
      <c r="B103" s="15" t="s">
        <v>75</v>
      </c>
      <c r="C103" s="15" t="s">
        <v>76</v>
      </c>
      <c r="D103" s="15" t="s">
        <v>456</v>
      </c>
      <c r="E103" s="15" t="s">
        <v>596</v>
      </c>
      <c r="F103" s="15" t="s">
        <v>13</v>
      </c>
      <c r="G103" s="15" t="s">
        <v>402</v>
      </c>
      <c r="H103" s="15" t="n">
        <v>5</v>
      </c>
      <c r="I103" s="15" t="n">
        <v>5</v>
      </c>
      <c r="J103" s="15" t="n">
        <v>0</v>
      </c>
      <c r="K103" s="15" t="n">
        <v>0</v>
      </c>
      <c r="L103" s="15" t="n">
        <v>55</v>
      </c>
      <c r="M103" s="15" t="n">
        <v>45</v>
      </c>
      <c r="N103" s="15" t="n">
        <v>45</v>
      </c>
      <c r="O103" s="15" t="s">
        <v>581</v>
      </c>
      <c r="P103" s="15" t="s">
        <v>729</v>
      </c>
    </row>
    <row r="104" customFormat="false" ht="23.85" hidden="false" customHeight="false" outlineLevel="0" collapsed="false">
      <c r="A104" s="3" t="n">
        <v>1907</v>
      </c>
      <c r="B104" s="3" t="s">
        <v>85</v>
      </c>
      <c r="C104" s="3" t="s">
        <v>86</v>
      </c>
      <c r="D104" s="3" t="s">
        <v>617</v>
      </c>
      <c r="E104" s="3" t="s">
        <v>730</v>
      </c>
      <c r="F104" s="3" t="s">
        <v>9</v>
      </c>
      <c r="G104" s="3" t="s">
        <v>406</v>
      </c>
      <c r="H104" s="3" t="n">
        <v>4</v>
      </c>
      <c r="I104" s="3" t="n">
        <v>4</v>
      </c>
      <c r="J104" s="3" t="n">
        <v>0</v>
      </c>
      <c r="K104" s="3" t="n">
        <v>0</v>
      </c>
      <c r="L104" s="3" t="n">
        <v>30</v>
      </c>
      <c r="M104" s="3" t="n">
        <v>0</v>
      </c>
      <c r="N104" s="3" t="n">
        <v>0</v>
      </c>
      <c r="O104" s="3"/>
      <c r="P104" s="3" t="s">
        <v>731</v>
      </c>
    </row>
    <row r="105" customFormat="false" ht="23.85" hidden="false" customHeight="false" outlineLevel="0" collapsed="false">
      <c r="A105" s="15" t="n">
        <v>1907</v>
      </c>
      <c r="B105" s="15" t="s">
        <v>53</v>
      </c>
      <c r="C105" s="15" t="s">
        <v>88</v>
      </c>
      <c r="D105" s="15" t="s">
        <v>518</v>
      </c>
      <c r="E105" s="15"/>
      <c r="F105" s="15" t="s">
        <v>9</v>
      </c>
      <c r="G105" s="15" t="s">
        <v>402</v>
      </c>
      <c r="H105" s="15" t="n">
        <v>5</v>
      </c>
      <c r="I105" s="15" t="n">
        <v>5</v>
      </c>
      <c r="J105" s="15" t="n">
        <v>0</v>
      </c>
      <c r="K105" s="15" t="n">
        <v>0</v>
      </c>
      <c r="L105" s="15" t="n">
        <v>50</v>
      </c>
      <c r="M105" s="15" t="n">
        <v>50</v>
      </c>
      <c r="N105" s="15" t="n">
        <v>50</v>
      </c>
      <c r="O105" s="15" t="s">
        <v>581</v>
      </c>
      <c r="P105" s="15" t="s">
        <v>732</v>
      </c>
    </row>
    <row r="106" customFormat="false" ht="23.85" hidden="false" customHeight="false" outlineLevel="0" collapsed="false">
      <c r="A106" s="3" t="n">
        <v>1907</v>
      </c>
      <c r="B106" s="3" t="s">
        <v>23</v>
      </c>
      <c r="C106" s="3" t="s">
        <v>90</v>
      </c>
      <c r="D106" s="3" t="s">
        <v>653</v>
      </c>
      <c r="E106" s="3" t="s">
        <v>586</v>
      </c>
      <c r="F106" s="3" t="s">
        <v>9</v>
      </c>
      <c r="G106" s="3" t="s">
        <v>406</v>
      </c>
      <c r="H106" s="3" t="n">
        <v>4</v>
      </c>
      <c r="I106" s="3" t="n">
        <v>4</v>
      </c>
      <c r="J106" s="3" t="n">
        <v>0</v>
      </c>
      <c r="K106" s="3" t="n">
        <v>0</v>
      </c>
      <c r="L106" s="3" t="n">
        <v>25</v>
      </c>
      <c r="M106" s="3" t="n">
        <v>0</v>
      </c>
      <c r="N106" s="3" t="n">
        <v>0</v>
      </c>
      <c r="O106" s="3"/>
      <c r="P106" s="3" t="s">
        <v>733</v>
      </c>
    </row>
    <row r="107" customFormat="false" ht="35.05" hidden="false" customHeight="false" outlineLevel="0" collapsed="false">
      <c r="A107" s="3" t="n">
        <v>1907</v>
      </c>
      <c r="B107" s="3" t="s">
        <v>23</v>
      </c>
      <c r="C107" s="3" t="s">
        <v>92</v>
      </c>
      <c r="D107" s="3" t="s">
        <v>734</v>
      </c>
      <c r="E107" s="3" t="s">
        <v>643</v>
      </c>
      <c r="F107" s="3" t="s">
        <v>9</v>
      </c>
      <c r="G107" s="3" t="s">
        <v>402</v>
      </c>
      <c r="H107" s="3" t="n">
        <v>7</v>
      </c>
      <c r="I107" s="3" t="n">
        <v>7</v>
      </c>
      <c r="J107" s="3" t="n">
        <v>0</v>
      </c>
      <c r="K107" s="3" t="n">
        <v>3</v>
      </c>
      <c r="L107" s="3" t="n">
        <v>20</v>
      </c>
      <c r="M107" s="3" t="n">
        <v>10</v>
      </c>
      <c r="N107" s="3" t="n">
        <v>10</v>
      </c>
      <c r="O107" s="3"/>
      <c r="P107" s="3" t="s">
        <v>735</v>
      </c>
    </row>
    <row r="108" customFormat="false" ht="35.05" hidden="false" customHeight="false" outlineLevel="0" collapsed="false">
      <c r="A108" s="15" t="n">
        <v>1907</v>
      </c>
      <c r="B108" s="15" t="s">
        <v>23</v>
      </c>
      <c r="C108" s="15" t="s">
        <v>94</v>
      </c>
      <c r="D108" s="15" t="s">
        <v>436</v>
      </c>
      <c r="E108" s="15" t="s">
        <v>576</v>
      </c>
      <c r="F108" s="15" t="s">
        <v>34</v>
      </c>
      <c r="G108" s="15" t="s">
        <v>402</v>
      </c>
      <c r="H108" s="15" t="n">
        <v>14</v>
      </c>
      <c r="I108" s="15" t="n">
        <v>14</v>
      </c>
      <c r="J108" s="15" t="n">
        <v>0</v>
      </c>
      <c r="K108" s="15" t="n">
        <v>0</v>
      </c>
      <c r="L108" s="15" t="n">
        <v>20</v>
      </c>
      <c r="M108" s="15" t="n">
        <v>10</v>
      </c>
      <c r="N108" s="15" t="n">
        <v>10</v>
      </c>
      <c r="O108" s="15" t="s">
        <v>581</v>
      </c>
      <c r="P108" s="15" t="s">
        <v>736</v>
      </c>
    </row>
    <row r="109" customFormat="false" ht="23.85" hidden="false" customHeight="false" outlineLevel="0" collapsed="false">
      <c r="A109" s="3" t="n">
        <v>1907</v>
      </c>
      <c r="B109" s="3" t="s">
        <v>99</v>
      </c>
      <c r="C109" s="3" t="s">
        <v>100</v>
      </c>
      <c r="D109" s="3"/>
      <c r="E109" s="3" t="s">
        <v>693</v>
      </c>
      <c r="F109" s="3" t="s">
        <v>34</v>
      </c>
      <c r="G109" s="3" t="s">
        <v>410</v>
      </c>
      <c r="H109" s="3" t="n">
        <v>14</v>
      </c>
      <c r="I109" s="3" t="n">
        <v>14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/>
      <c r="P109" s="3" t="s">
        <v>737</v>
      </c>
    </row>
    <row r="110" customFormat="false" ht="23.85" hidden="false" customHeight="false" outlineLevel="0" collapsed="false">
      <c r="A110" s="3" t="n">
        <v>1907</v>
      </c>
      <c r="B110" s="3" t="s">
        <v>103</v>
      </c>
      <c r="C110" s="3" t="s">
        <v>104</v>
      </c>
      <c r="D110" s="3" t="s">
        <v>738</v>
      </c>
      <c r="E110" s="3" t="s">
        <v>576</v>
      </c>
      <c r="F110" s="3" t="s">
        <v>9</v>
      </c>
      <c r="G110" s="3" t="s">
        <v>400</v>
      </c>
      <c r="H110" s="3" t="n">
        <v>6</v>
      </c>
      <c r="I110" s="3" t="n">
        <v>6</v>
      </c>
      <c r="J110" s="3" t="n">
        <v>0</v>
      </c>
      <c r="K110" s="3" t="n">
        <v>1</v>
      </c>
      <c r="L110" s="3" t="n">
        <v>11</v>
      </c>
      <c r="M110" s="3" t="n">
        <v>1</v>
      </c>
      <c r="N110" s="3" t="n">
        <v>1</v>
      </c>
      <c r="O110" s="3"/>
      <c r="P110" s="3" t="s">
        <v>739</v>
      </c>
    </row>
    <row r="111" customFormat="false" ht="23.85" hidden="false" customHeight="false" outlineLevel="0" collapsed="false">
      <c r="A111" s="3" t="n">
        <v>1910</v>
      </c>
      <c r="B111" s="3" t="s">
        <v>122</v>
      </c>
      <c r="C111" s="3" t="s">
        <v>123</v>
      </c>
      <c r="D111" s="3" t="s">
        <v>483</v>
      </c>
      <c r="E111" s="3" t="s">
        <v>740</v>
      </c>
      <c r="F111" s="3" t="s">
        <v>34</v>
      </c>
      <c r="G111" s="3" t="s">
        <v>404</v>
      </c>
      <c r="H111" s="3" t="n">
        <v>21</v>
      </c>
      <c r="I111" s="3" t="n">
        <v>21</v>
      </c>
      <c r="J111" s="3" t="n">
        <v>0</v>
      </c>
      <c r="K111" s="3" t="n">
        <v>3</v>
      </c>
      <c r="L111" s="3" t="n">
        <v>46</v>
      </c>
      <c r="M111" s="3" t="n">
        <v>44</v>
      </c>
      <c r="N111" s="3" t="n">
        <v>44</v>
      </c>
      <c r="O111" s="3"/>
      <c r="P111" s="3" t="s">
        <v>741</v>
      </c>
    </row>
    <row r="112" customFormat="false" ht="23.85" hidden="false" customHeight="false" outlineLevel="0" collapsed="false">
      <c r="A112" s="3" t="n">
        <v>1910</v>
      </c>
      <c r="B112" s="3" t="s">
        <v>125</v>
      </c>
      <c r="C112" s="3" t="s">
        <v>126</v>
      </c>
      <c r="D112" s="3" t="s">
        <v>653</v>
      </c>
      <c r="E112" s="3" t="s">
        <v>640</v>
      </c>
      <c r="F112" s="3" t="s">
        <v>9</v>
      </c>
      <c r="G112" s="3" t="s">
        <v>406</v>
      </c>
      <c r="H112" s="3" t="n">
        <v>13</v>
      </c>
      <c r="I112" s="3" t="n">
        <v>13</v>
      </c>
      <c r="J112" s="3" t="n">
        <v>0</v>
      </c>
      <c r="K112" s="3" t="n">
        <v>0</v>
      </c>
      <c r="L112" s="3" t="n">
        <v>27</v>
      </c>
      <c r="M112" s="3" t="n">
        <v>0</v>
      </c>
      <c r="N112" s="3" t="n">
        <v>0</v>
      </c>
      <c r="O112" s="3"/>
      <c r="P112" s="3" t="s">
        <v>742</v>
      </c>
    </row>
    <row r="113" customFormat="false" ht="35.05" hidden="false" customHeight="false" outlineLevel="0" collapsed="false">
      <c r="A113" s="3" t="n">
        <v>1910</v>
      </c>
      <c r="B113" s="3" t="s">
        <v>128</v>
      </c>
      <c r="C113" s="3" t="s">
        <v>129</v>
      </c>
      <c r="D113" s="3"/>
      <c r="E113" s="3" t="s">
        <v>580</v>
      </c>
      <c r="F113" s="3" t="s">
        <v>34</v>
      </c>
      <c r="G113" s="3" t="s">
        <v>410</v>
      </c>
      <c r="H113" s="3" t="n">
        <v>7</v>
      </c>
      <c r="I113" s="3" t="n">
        <v>7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/>
      <c r="P113" s="3" t="s">
        <v>743</v>
      </c>
    </row>
    <row r="114" customFormat="false" ht="23.85" hidden="false" customHeight="false" outlineLevel="0" collapsed="false">
      <c r="A114" s="15" t="n">
        <v>1910</v>
      </c>
      <c r="B114" s="15" t="s">
        <v>7</v>
      </c>
      <c r="C114" s="15" t="s">
        <v>133</v>
      </c>
      <c r="D114" s="15" t="s">
        <v>525</v>
      </c>
      <c r="E114" s="15" t="s">
        <v>637</v>
      </c>
      <c r="F114" s="15" t="s">
        <v>9</v>
      </c>
      <c r="G114" s="15" t="s">
        <v>402</v>
      </c>
      <c r="H114" s="15" t="n">
        <v>5</v>
      </c>
      <c r="I114" s="15" t="n">
        <v>5</v>
      </c>
      <c r="J114" s="15" t="n">
        <v>0</v>
      </c>
      <c r="K114" s="15" t="n">
        <v>0</v>
      </c>
      <c r="L114" s="15" t="n">
        <v>29</v>
      </c>
      <c r="M114" s="15" t="n">
        <v>8</v>
      </c>
      <c r="N114" s="15" t="n">
        <v>8</v>
      </c>
      <c r="O114" s="15" t="s">
        <v>581</v>
      </c>
      <c r="P114" s="15" t="s">
        <v>744</v>
      </c>
    </row>
    <row r="115" customFormat="false" ht="23.85" hidden="false" customHeight="false" outlineLevel="0" collapsed="false">
      <c r="A115" s="3" t="n">
        <v>1910</v>
      </c>
      <c r="B115" s="3" t="s">
        <v>48</v>
      </c>
      <c r="C115" s="3" t="s">
        <v>135</v>
      </c>
      <c r="D115" s="3" t="s">
        <v>605</v>
      </c>
      <c r="E115" s="3" t="s">
        <v>576</v>
      </c>
      <c r="F115" s="3" t="s">
        <v>9</v>
      </c>
      <c r="G115" s="3" t="s">
        <v>406</v>
      </c>
      <c r="H115" s="3" t="n">
        <v>14</v>
      </c>
      <c r="I115" s="3" t="n">
        <v>14</v>
      </c>
      <c r="J115" s="3" t="n">
        <v>0</v>
      </c>
      <c r="K115" s="3" t="n">
        <v>0</v>
      </c>
      <c r="L115" s="3" t="n">
        <v>28</v>
      </c>
      <c r="M115" s="3" t="n">
        <v>0</v>
      </c>
      <c r="N115" s="3" t="n">
        <v>0</v>
      </c>
      <c r="O115" s="3"/>
      <c r="P115" s="3" t="s">
        <v>745</v>
      </c>
    </row>
    <row r="116" customFormat="false" ht="23.85" hidden="false" customHeight="false" outlineLevel="0" collapsed="false">
      <c r="A116" s="3" t="n">
        <v>1910</v>
      </c>
      <c r="B116" s="3" t="s">
        <v>23</v>
      </c>
      <c r="C116" s="3" t="s">
        <v>139</v>
      </c>
      <c r="D116" s="3"/>
      <c r="E116" s="3" t="s">
        <v>676</v>
      </c>
      <c r="F116" s="3" t="s">
        <v>13</v>
      </c>
      <c r="G116" s="3" t="s">
        <v>410</v>
      </c>
      <c r="H116" s="3" t="n">
        <v>13</v>
      </c>
      <c r="I116" s="3" t="n">
        <v>13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/>
      <c r="P116" s="3" t="s">
        <v>746</v>
      </c>
    </row>
    <row r="117" customFormat="false" ht="23.85" hidden="false" customHeight="false" outlineLevel="0" collapsed="false">
      <c r="A117" s="3" t="n">
        <v>1910</v>
      </c>
      <c r="B117" s="3" t="s">
        <v>140</v>
      </c>
      <c r="C117" s="3" t="s">
        <v>141</v>
      </c>
      <c r="D117" s="3" t="s">
        <v>615</v>
      </c>
      <c r="E117" s="3" t="s">
        <v>747</v>
      </c>
      <c r="F117" s="3" t="s">
        <v>9</v>
      </c>
      <c r="G117" s="3" t="s">
        <v>406</v>
      </c>
      <c r="H117" s="3" t="n">
        <v>26</v>
      </c>
      <c r="I117" s="3" t="n">
        <v>26</v>
      </c>
      <c r="J117" s="3" t="n">
        <v>0</v>
      </c>
      <c r="K117" s="3" t="n">
        <v>0</v>
      </c>
      <c r="L117" s="3" t="n">
        <v>27</v>
      </c>
      <c r="M117" s="3" t="n">
        <v>0</v>
      </c>
      <c r="N117" s="3" t="n">
        <v>0</v>
      </c>
      <c r="O117" s="3"/>
      <c r="P117" s="3" t="s">
        <v>748</v>
      </c>
    </row>
    <row r="118" customFormat="false" ht="23.85" hidden="false" customHeight="false" outlineLevel="0" collapsed="false">
      <c r="A118" s="3" t="n">
        <v>1910</v>
      </c>
      <c r="B118" s="3" t="s">
        <v>107</v>
      </c>
      <c r="C118" s="3" t="s">
        <v>143</v>
      </c>
      <c r="D118" s="3"/>
      <c r="E118" s="3" t="s">
        <v>730</v>
      </c>
      <c r="F118" s="3" t="s">
        <v>13</v>
      </c>
      <c r="G118" s="3" t="s">
        <v>410</v>
      </c>
      <c r="H118" s="3" t="n">
        <v>9</v>
      </c>
      <c r="I118" s="3" t="n">
        <v>9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/>
      <c r="P118" s="3" t="s">
        <v>749</v>
      </c>
    </row>
    <row r="119" customFormat="false" ht="23.85" hidden="false" customHeight="false" outlineLevel="0" collapsed="false">
      <c r="A119" s="15" t="n">
        <v>1907</v>
      </c>
      <c r="B119" s="15" t="s">
        <v>59</v>
      </c>
      <c r="C119" s="15" t="s">
        <v>60</v>
      </c>
      <c r="D119" s="15" t="s">
        <v>488</v>
      </c>
      <c r="E119" s="15" t="s">
        <v>576</v>
      </c>
      <c r="F119" s="15" t="s">
        <v>13</v>
      </c>
      <c r="G119" s="15" t="s">
        <v>404</v>
      </c>
      <c r="H119" s="15" t="n">
        <v>2</v>
      </c>
      <c r="I119" s="15" t="n">
        <v>2</v>
      </c>
      <c r="J119" s="15" t="n">
        <v>0</v>
      </c>
      <c r="K119" s="15" t="n">
        <v>0</v>
      </c>
      <c r="L119" s="15" t="n">
        <v>30</v>
      </c>
      <c r="M119" s="15" t="n">
        <v>7</v>
      </c>
      <c r="N119" s="15" t="n">
        <v>7</v>
      </c>
      <c r="O119" s="15" t="s">
        <v>581</v>
      </c>
      <c r="P119" s="15" t="s">
        <v>750</v>
      </c>
    </row>
    <row r="120" customFormat="false" ht="23.85" hidden="false" customHeight="false" outlineLevel="0" collapsed="false">
      <c r="A120" s="3" t="n">
        <v>1907</v>
      </c>
      <c r="B120" s="3" t="s">
        <v>63</v>
      </c>
      <c r="C120" s="3" t="s">
        <v>64</v>
      </c>
      <c r="D120" s="3" t="s">
        <v>615</v>
      </c>
      <c r="E120" s="3" t="s">
        <v>637</v>
      </c>
      <c r="F120" s="3" t="s">
        <v>34</v>
      </c>
      <c r="G120" s="3" t="s">
        <v>406</v>
      </c>
      <c r="H120" s="3" t="n">
        <v>34</v>
      </c>
      <c r="I120" s="3" t="n">
        <v>27</v>
      </c>
      <c r="J120" s="3" t="n">
        <v>7</v>
      </c>
      <c r="K120" s="3" t="n">
        <v>0</v>
      </c>
      <c r="L120" s="3" t="n">
        <v>28</v>
      </c>
      <c r="M120" s="3" t="n">
        <v>0</v>
      </c>
      <c r="N120" s="3" t="n">
        <v>0</v>
      </c>
      <c r="O120" s="3"/>
      <c r="P120" s="3" t="s">
        <v>751</v>
      </c>
    </row>
    <row r="121" customFormat="false" ht="23.85" hidden="false" customHeight="false" outlineLevel="0" collapsed="false">
      <c r="A121" s="15" t="n">
        <v>1907</v>
      </c>
      <c r="B121" s="15" t="s">
        <v>7</v>
      </c>
      <c r="C121" s="15" t="s">
        <v>66</v>
      </c>
      <c r="D121" s="15" t="s">
        <v>527</v>
      </c>
      <c r="E121" s="15"/>
      <c r="F121" s="15" t="s">
        <v>13</v>
      </c>
      <c r="G121" s="15" t="s">
        <v>402</v>
      </c>
      <c r="H121" s="15" t="n">
        <v>5</v>
      </c>
      <c r="I121" s="15" t="n">
        <v>4</v>
      </c>
      <c r="J121" s="15" t="n">
        <v>1</v>
      </c>
      <c r="K121" s="15" t="n">
        <v>0</v>
      </c>
      <c r="L121" s="15" t="n">
        <v>47</v>
      </c>
      <c r="M121" s="15" t="n">
        <v>47</v>
      </c>
      <c r="N121" s="15" t="n">
        <v>47</v>
      </c>
      <c r="O121" s="15" t="s">
        <v>581</v>
      </c>
      <c r="P121" s="15" t="s">
        <v>752</v>
      </c>
    </row>
    <row r="122" customFormat="false" ht="23.85" hidden="false" customHeight="false" outlineLevel="0" collapsed="false">
      <c r="A122" s="3" t="n">
        <v>1907</v>
      </c>
      <c r="B122" s="3" t="s">
        <v>7</v>
      </c>
      <c r="C122" s="3" t="s">
        <v>67</v>
      </c>
      <c r="D122" s="3" t="s">
        <v>615</v>
      </c>
      <c r="E122" s="3" t="s">
        <v>711</v>
      </c>
      <c r="F122" s="3" t="s">
        <v>9</v>
      </c>
      <c r="G122" s="3" t="s">
        <v>406</v>
      </c>
      <c r="H122" s="3" t="n">
        <v>5</v>
      </c>
      <c r="I122" s="3" t="n">
        <v>4</v>
      </c>
      <c r="J122" s="3" t="n">
        <v>1</v>
      </c>
      <c r="K122" s="3" t="n">
        <v>0</v>
      </c>
      <c r="L122" s="3" t="n">
        <v>29</v>
      </c>
      <c r="M122" s="3" t="n">
        <v>0</v>
      </c>
      <c r="N122" s="3" t="n">
        <v>0</v>
      </c>
      <c r="O122" s="3"/>
      <c r="P122" s="3" t="s">
        <v>753</v>
      </c>
    </row>
    <row r="123" customFormat="false" ht="23.85" hidden="false" customHeight="false" outlineLevel="0" collapsed="false">
      <c r="A123" s="3" t="n">
        <v>1907</v>
      </c>
      <c r="B123" s="3" t="s">
        <v>70</v>
      </c>
      <c r="C123" s="3" t="s">
        <v>73</v>
      </c>
      <c r="D123" s="3" t="s">
        <v>653</v>
      </c>
      <c r="E123" s="3" t="s">
        <v>711</v>
      </c>
      <c r="F123" s="3" t="s">
        <v>9</v>
      </c>
      <c r="G123" s="3" t="s">
        <v>406</v>
      </c>
      <c r="H123" s="3" t="n">
        <v>3</v>
      </c>
      <c r="I123" s="3" t="n">
        <v>3</v>
      </c>
      <c r="J123" s="3" t="n">
        <v>0</v>
      </c>
      <c r="K123" s="3" t="n">
        <v>0</v>
      </c>
      <c r="L123" s="3" t="n">
        <v>25</v>
      </c>
      <c r="M123" s="3" t="n">
        <v>0</v>
      </c>
      <c r="N123" s="3" t="n">
        <v>0</v>
      </c>
      <c r="O123" s="3"/>
      <c r="P123" s="3" t="s">
        <v>754</v>
      </c>
    </row>
    <row r="124" customFormat="false" ht="35.05" hidden="false" customHeight="false" outlineLevel="0" collapsed="false">
      <c r="A124" s="15" t="n">
        <v>1907</v>
      </c>
      <c r="B124" s="15" t="s">
        <v>48</v>
      </c>
      <c r="C124" s="15" t="s">
        <v>77</v>
      </c>
      <c r="D124" s="15" t="s">
        <v>539</v>
      </c>
      <c r="E124" s="15" t="s">
        <v>576</v>
      </c>
      <c r="F124" s="15" t="s">
        <v>9</v>
      </c>
      <c r="G124" s="15" t="s">
        <v>404</v>
      </c>
      <c r="H124" s="15" t="n">
        <v>5</v>
      </c>
      <c r="I124" s="15" t="n">
        <v>5</v>
      </c>
      <c r="J124" s="15" t="n">
        <v>0</v>
      </c>
      <c r="K124" s="15" t="n">
        <v>0</v>
      </c>
      <c r="L124" s="15" t="n">
        <v>54</v>
      </c>
      <c r="M124" s="15" t="n">
        <v>40</v>
      </c>
      <c r="N124" s="15" t="n">
        <v>40</v>
      </c>
      <c r="O124" s="15" t="s">
        <v>581</v>
      </c>
      <c r="P124" s="15" t="s">
        <v>755</v>
      </c>
    </row>
    <row r="125" customFormat="false" ht="23.85" hidden="false" customHeight="false" outlineLevel="0" collapsed="false">
      <c r="A125" s="15" t="n">
        <v>1907</v>
      </c>
      <c r="B125" s="15" t="s">
        <v>48</v>
      </c>
      <c r="C125" s="15" t="s">
        <v>78</v>
      </c>
      <c r="D125" s="15" t="s">
        <v>433</v>
      </c>
      <c r="E125" s="15" t="s">
        <v>576</v>
      </c>
      <c r="F125" s="15" t="s">
        <v>34</v>
      </c>
      <c r="G125" s="15" t="s">
        <v>400</v>
      </c>
      <c r="H125" s="15" t="n">
        <v>2</v>
      </c>
      <c r="I125" s="15" t="n">
        <v>2</v>
      </c>
      <c r="J125" s="15" t="n">
        <v>0</v>
      </c>
      <c r="K125" s="15" t="n">
        <v>0</v>
      </c>
      <c r="L125" s="15" t="n">
        <v>49</v>
      </c>
      <c r="M125" s="15" t="n">
        <v>48</v>
      </c>
      <c r="N125" s="15" t="n">
        <v>48</v>
      </c>
      <c r="O125" s="15" t="s">
        <v>581</v>
      </c>
      <c r="P125" s="15" t="s">
        <v>756</v>
      </c>
    </row>
    <row r="126" customFormat="false" ht="23.85" hidden="false" customHeight="false" outlineLevel="0" collapsed="false">
      <c r="A126" s="3" t="n">
        <v>1907</v>
      </c>
      <c r="B126" s="3" t="s">
        <v>48</v>
      </c>
      <c r="C126" s="3" t="s">
        <v>80</v>
      </c>
      <c r="D126" s="3" t="s">
        <v>626</v>
      </c>
      <c r="E126" s="3" t="s">
        <v>576</v>
      </c>
      <c r="F126" s="3" t="s">
        <v>34</v>
      </c>
      <c r="G126" s="3" t="s">
        <v>406</v>
      </c>
      <c r="H126" s="3" t="n">
        <v>23</v>
      </c>
      <c r="I126" s="3" t="n">
        <v>23</v>
      </c>
      <c r="J126" s="3" t="n">
        <v>0</v>
      </c>
      <c r="K126" s="3" t="n">
        <v>0</v>
      </c>
      <c r="L126" s="3" t="n">
        <v>28</v>
      </c>
      <c r="M126" s="3" t="n">
        <v>0</v>
      </c>
      <c r="N126" s="3" t="n">
        <v>0</v>
      </c>
      <c r="O126" s="3"/>
      <c r="P126" s="3" t="s">
        <v>757</v>
      </c>
    </row>
    <row r="127" customFormat="false" ht="23.85" hidden="false" customHeight="false" outlineLevel="0" collapsed="false">
      <c r="A127" s="15" t="n">
        <v>1907</v>
      </c>
      <c r="B127" s="15" t="s">
        <v>82</v>
      </c>
      <c r="C127" s="15" t="s">
        <v>83</v>
      </c>
      <c r="D127" s="15" t="s">
        <v>453</v>
      </c>
      <c r="E127" s="15" t="s">
        <v>576</v>
      </c>
      <c r="F127" s="15" t="s">
        <v>34</v>
      </c>
      <c r="G127" s="15" t="s">
        <v>402</v>
      </c>
      <c r="H127" s="15" t="n">
        <v>4</v>
      </c>
      <c r="I127" s="15" t="n">
        <v>4</v>
      </c>
      <c r="J127" s="15" t="n">
        <v>0</v>
      </c>
      <c r="K127" s="15" t="n">
        <v>0</v>
      </c>
      <c r="L127" s="15" t="n">
        <v>30</v>
      </c>
      <c r="M127" s="15" t="n">
        <v>7</v>
      </c>
      <c r="N127" s="15" t="n">
        <v>7</v>
      </c>
      <c r="O127" s="15" t="s">
        <v>581</v>
      </c>
      <c r="P127" s="15" t="s">
        <v>758</v>
      </c>
    </row>
    <row r="128" customFormat="false" ht="23.85" hidden="false" customHeight="false" outlineLevel="0" collapsed="false">
      <c r="A128" s="3" t="n">
        <v>1907</v>
      </c>
      <c r="B128" s="3" t="s">
        <v>23</v>
      </c>
      <c r="C128" s="3" t="s">
        <v>96</v>
      </c>
      <c r="D128" s="3" t="s">
        <v>623</v>
      </c>
      <c r="E128" s="3"/>
      <c r="F128" s="3" t="s">
        <v>9</v>
      </c>
      <c r="G128" s="3" t="s">
        <v>406</v>
      </c>
      <c r="H128" s="3" t="n">
        <v>21</v>
      </c>
      <c r="I128" s="3" t="n">
        <v>20</v>
      </c>
      <c r="J128" s="3" t="n">
        <v>1</v>
      </c>
      <c r="K128" s="3" t="n">
        <v>0</v>
      </c>
      <c r="L128" s="3" t="n">
        <v>30</v>
      </c>
      <c r="M128" s="3" t="n">
        <v>0</v>
      </c>
      <c r="N128" s="3" t="n">
        <v>0</v>
      </c>
      <c r="O128" s="3"/>
      <c r="P128" s="3" t="s">
        <v>759</v>
      </c>
    </row>
    <row r="129" customFormat="false" ht="35.05" hidden="false" customHeight="false" outlineLevel="0" collapsed="false">
      <c r="A129" s="3" t="n">
        <v>1907</v>
      </c>
      <c r="B129" s="3" t="s">
        <v>53</v>
      </c>
      <c r="C129" s="3" t="s">
        <v>98</v>
      </c>
      <c r="D129" s="3" t="s">
        <v>653</v>
      </c>
      <c r="E129" s="3" t="s">
        <v>576</v>
      </c>
      <c r="F129" s="3" t="s">
        <v>13</v>
      </c>
      <c r="G129" s="3" t="s">
        <v>406</v>
      </c>
      <c r="H129" s="3" t="n">
        <v>10</v>
      </c>
      <c r="I129" s="3" t="n">
        <v>10</v>
      </c>
      <c r="J129" s="3" t="n">
        <v>0</v>
      </c>
      <c r="K129" s="3" t="n">
        <v>0</v>
      </c>
      <c r="L129" s="3" t="n">
        <v>25</v>
      </c>
      <c r="M129" s="3" t="n">
        <v>0</v>
      </c>
      <c r="N129" s="3" t="n">
        <v>0</v>
      </c>
      <c r="O129" s="3"/>
      <c r="P129" s="3" t="s">
        <v>760</v>
      </c>
    </row>
    <row r="130" customFormat="false" ht="23.85" hidden="false" customHeight="false" outlineLevel="0" collapsed="false">
      <c r="A130" s="15" t="n">
        <v>1907</v>
      </c>
      <c r="B130" s="15" t="s">
        <v>26</v>
      </c>
      <c r="C130" s="15" t="s">
        <v>106</v>
      </c>
      <c r="D130" s="15" t="s">
        <v>427</v>
      </c>
      <c r="E130" s="15" t="s">
        <v>576</v>
      </c>
      <c r="F130" s="15" t="s">
        <v>13</v>
      </c>
      <c r="G130" s="15" t="s">
        <v>400</v>
      </c>
      <c r="H130" s="15" t="n">
        <v>8</v>
      </c>
      <c r="I130" s="15" t="n">
        <v>8</v>
      </c>
      <c r="J130" s="15" t="n">
        <v>0</v>
      </c>
      <c r="K130" s="15" t="n">
        <v>0</v>
      </c>
      <c r="L130" s="15" t="n">
        <v>33</v>
      </c>
      <c r="M130" s="15" t="n">
        <v>23</v>
      </c>
      <c r="N130" s="15" t="n">
        <v>23</v>
      </c>
      <c r="O130" s="15" t="s">
        <v>581</v>
      </c>
      <c r="P130" s="15" t="s">
        <v>761</v>
      </c>
    </row>
    <row r="131" customFormat="false" ht="23.85" hidden="false" customHeight="false" outlineLevel="0" collapsed="false">
      <c r="A131" s="15" t="n">
        <v>1907</v>
      </c>
      <c r="B131" s="15" t="s">
        <v>7</v>
      </c>
      <c r="C131" s="15" t="s">
        <v>69</v>
      </c>
      <c r="D131" s="15" t="s">
        <v>447</v>
      </c>
      <c r="E131" s="15" t="s">
        <v>576</v>
      </c>
      <c r="F131" s="15" t="s">
        <v>13</v>
      </c>
      <c r="G131" s="15" t="s">
        <v>402</v>
      </c>
      <c r="H131" s="15" t="n">
        <v>7</v>
      </c>
      <c r="I131" s="15" t="n">
        <v>6</v>
      </c>
      <c r="J131" s="15" t="n">
        <v>1</v>
      </c>
      <c r="K131" s="15" t="n">
        <v>0</v>
      </c>
      <c r="L131" s="15" t="n">
        <v>17</v>
      </c>
      <c r="M131" s="15" t="n">
        <v>7</v>
      </c>
      <c r="N131" s="15" t="n">
        <v>7</v>
      </c>
      <c r="O131" s="15" t="s">
        <v>581</v>
      </c>
      <c r="P131" s="15" t="s">
        <v>762</v>
      </c>
    </row>
    <row r="132" customFormat="false" ht="35.05" hidden="false" customHeight="false" outlineLevel="0" collapsed="false">
      <c r="A132" s="3" t="n">
        <v>1907</v>
      </c>
      <c r="B132" s="3" t="s">
        <v>107</v>
      </c>
      <c r="C132" s="3" t="s">
        <v>108</v>
      </c>
      <c r="D132" s="3"/>
      <c r="E132" s="3" t="s">
        <v>578</v>
      </c>
      <c r="F132" s="3" t="s">
        <v>34</v>
      </c>
      <c r="G132" s="3" t="s">
        <v>410</v>
      </c>
      <c r="H132" s="3" t="n">
        <v>11</v>
      </c>
      <c r="I132" s="3" t="n">
        <v>11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/>
      <c r="P132" s="3" t="s">
        <v>763</v>
      </c>
    </row>
    <row r="133" customFormat="false" ht="23.85" hidden="false" customHeight="false" outlineLevel="0" collapsed="false">
      <c r="A133" s="3" t="n">
        <v>1912</v>
      </c>
      <c r="B133" s="3" t="s">
        <v>149</v>
      </c>
      <c r="C133" s="3" t="s">
        <v>152</v>
      </c>
      <c r="D133" s="3" t="s">
        <v>619</v>
      </c>
      <c r="E133" s="3" t="s">
        <v>711</v>
      </c>
      <c r="F133" s="3" t="s">
        <v>9</v>
      </c>
      <c r="G133" s="3" t="s">
        <v>406</v>
      </c>
      <c r="H133" s="3" t="n">
        <v>8</v>
      </c>
      <c r="I133" s="3" t="n">
        <v>7</v>
      </c>
      <c r="J133" s="3" t="n">
        <v>1</v>
      </c>
      <c r="K133" s="3" t="n">
        <v>0</v>
      </c>
      <c r="L133" s="3" t="n">
        <v>30</v>
      </c>
      <c r="M133" s="3" t="n">
        <v>0</v>
      </c>
      <c r="N133" s="3" t="n">
        <v>0</v>
      </c>
      <c r="O133" s="3"/>
      <c r="P133" s="3" t="s">
        <v>764</v>
      </c>
    </row>
    <row r="134" customFormat="false" ht="23.85" hidden="false" customHeight="false" outlineLevel="0" collapsed="false">
      <c r="A134" s="3" t="n">
        <v>1912</v>
      </c>
      <c r="B134" s="3" t="s">
        <v>155</v>
      </c>
      <c r="C134" s="3" t="s">
        <v>156</v>
      </c>
      <c r="D134" s="3" t="s">
        <v>483</v>
      </c>
      <c r="E134" s="3"/>
      <c r="F134" s="3" t="s">
        <v>13</v>
      </c>
      <c r="G134" s="3" t="s">
        <v>404</v>
      </c>
      <c r="H134" s="3" t="n">
        <v>28</v>
      </c>
      <c r="I134" s="3" t="n">
        <v>28</v>
      </c>
      <c r="J134" s="3" t="n">
        <v>0</v>
      </c>
      <c r="K134" s="3" t="n">
        <v>4</v>
      </c>
      <c r="L134" s="3" t="n">
        <v>50</v>
      </c>
      <c r="M134" s="3" t="n">
        <v>49</v>
      </c>
      <c r="N134" s="3" t="n">
        <v>49</v>
      </c>
      <c r="O134" s="3"/>
      <c r="P134" s="3" t="s">
        <v>765</v>
      </c>
    </row>
    <row r="135" customFormat="false" ht="23.85" hidden="false" customHeight="false" outlineLevel="0" collapsed="false">
      <c r="A135" s="15" t="n">
        <v>1912</v>
      </c>
      <c r="B135" s="15" t="s">
        <v>159</v>
      </c>
      <c r="C135" s="15" t="s">
        <v>160</v>
      </c>
      <c r="D135" s="15" t="s">
        <v>450</v>
      </c>
      <c r="E135" s="15" t="s">
        <v>580</v>
      </c>
      <c r="F135" s="15" t="s">
        <v>13</v>
      </c>
      <c r="G135" s="15" t="s">
        <v>402</v>
      </c>
      <c r="H135" s="15" t="n">
        <v>7</v>
      </c>
      <c r="I135" s="15" t="n">
        <v>7</v>
      </c>
      <c r="J135" s="15" t="n">
        <v>0</v>
      </c>
      <c r="K135" s="15" t="n">
        <v>0</v>
      </c>
      <c r="L135" s="15" t="n">
        <v>50</v>
      </c>
      <c r="M135" s="15" t="n">
        <v>42</v>
      </c>
      <c r="N135" s="15" t="n">
        <v>42</v>
      </c>
      <c r="O135" s="15" t="s">
        <v>581</v>
      </c>
      <c r="P135" s="15" t="s">
        <v>766</v>
      </c>
    </row>
    <row r="136" customFormat="false" ht="23.85" hidden="false" customHeight="false" outlineLevel="0" collapsed="false">
      <c r="A136" s="3" t="n">
        <v>1912</v>
      </c>
      <c r="B136" s="3" t="s">
        <v>162</v>
      </c>
      <c r="C136" s="3" t="s">
        <v>163</v>
      </c>
      <c r="D136" s="3" t="s">
        <v>439</v>
      </c>
      <c r="E136" s="3" t="s">
        <v>580</v>
      </c>
      <c r="F136" s="3" t="s">
        <v>31</v>
      </c>
      <c r="G136" s="3" t="s">
        <v>402</v>
      </c>
      <c r="H136" s="3" t="n">
        <v>60</v>
      </c>
      <c r="I136" s="3" t="n">
        <v>55</v>
      </c>
      <c r="J136" s="3" t="n">
        <v>5</v>
      </c>
      <c r="K136" s="3" t="n">
        <v>5</v>
      </c>
      <c r="L136" s="3" t="n">
        <v>24</v>
      </c>
      <c r="M136" s="3" t="n">
        <v>2</v>
      </c>
      <c r="N136" s="3" t="n">
        <v>2</v>
      </c>
      <c r="O136" s="3"/>
      <c r="P136" s="3" t="s">
        <v>767</v>
      </c>
    </row>
    <row r="137" customFormat="false" ht="35.05" hidden="false" customHeight="false" outlineLevel="0" collapsed="false">
      <c r="A137" s="15" t="n">
        <v>1912</v>
      </c>
      <c r="B137" s="15" t="s">
        <v>113</v>
      </c>
      <c r="C137" s="15" t="s">
        <v>161</v>
      </c>
      <c r="D137" s="15" t="s">
        <v>525</v>
      </c>
      <c r="E137" s="15" t="s">
        <v>768</v>
      </c>
      <c r="F137" s="15" t="s">
        <v>9</v>
      </c>
      <c r="G137" s="15" t="s">
        <v>402</v>
      </c>
      <c r="H137" s="15" t="n">
        <v>4</v>
      </c>
      <c r="I137" s="15" t="n">
        <v>3</v>
      </c>
      <c r="J137" s="15" t="n">
        <v>1</v>
      </c>
      <c r="K137" s="15" t="n">
        <v>0</v>
      </c>
      <c r="L137" s="15" t="n">
        <v>52</v>
      </c>
      <c r="M137" s="15" t="n">
        <v>47</v>
      </c>
      <c r="N137" s="15" t="n">
        <v>47</v>
      </c>
      <c r="O137" s="15" t="s">
        <v>581</v>
      </c>
      <c r="P137" s="15" t="s">
        <v>769</v>
      </c>
    </row>
    <row r="138" customFormat="false" ht="23.85" hidden="false" customHeight="false" outlineLevel="0" collapsed="false">
      <c r="A138" s="3" t="n">
        <v>1914</v>
      </c>
      <c r="B138" s="3" t="s">
        <v>70</v>
      </c>
      <c r="C138" s="3" t="s">
        <v>180</v>
      </c>
      <c r="D138" s="3"/>
      <c r="E138" s="3" t="s">
        <v>576</v>
      </c>
      <c r="F138" s="3" t="s">
        <v>13</v>
      </c>
      <c r="G138" s="3" t="s">
        <v>410</v>
      </c>
      <c r="H138" s="3" t="n">
        <v>1</v>
      </c>
      <c r="I138" s="3" t="n">
        <v>1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/>
      <c r="P138" s="3" t="s">
        <v>770</v>
      </c>
    </row>
    <row r="139" customFormat="false" ht="35.05" hidden="false" customHeight="false" outlineLevel="0" collapsed="false">
      <c r="A139" s="3" t="n">
        <v>1914</v>
      </c>
      <c r="B139" s="3" t="s">
        <v>181</v>
      </c>
      <c r="C139" s="3" t="s">
        <v>182</v>
      </c>
      <c r="D139" s="3" t="s">
        <v>453</v>
      </c>
      <c r="E139" s="3" t="s">
        <v>627</v>
      </c>
      <c r="F139" s="3" t="s">
        <v>31</v>
      </c>
      <c r="G139" s="3" t="s">
        <v>402</v>
      </c>
      <c r="H139" s="3" t="n">
        <v>15</v>
      </c>
      <c r="I139" s="3" t="n">
        <v>15</v>
      </c>
      <c r="J139" s="3" t="n">
        <v>0</v>
      </c>
      <c r="K139" s="3" t="n">
        <v>1</v>
      </c>
      <c r="L139" s="3" t="n">
        <v>24</v>
      </c>
      <c r="M139" s="3" t="n">
        <v>4</v>
      </c>
      <c r="N139" s="3" t="n">
        <v>4</v>
      </c>
      <c r="O139" s="3"/>
      <c r="P139" s="3" t="s">
        <v>771</v>
      </c>
    </row>
    <row r="140" customFormat="false" ht="23.85" hidden="false" customHeight="false" outlineLevel="0" collapsed="false">
      <c r="A140" s="15" t="n">
        <v>1914</v>
      </c>
      <c r="B140" s="15" t="s">
        <v>184</v>
      </c>
      <c r="C140" s="15" t="s">
        <v>185</v>
      </c>
      <c r="D140" s="15" t="s">
        <v>476</v>
      </c>
      <c r="E140" s="15"/>
      <c r="F140" s="15" t="s">
        <v>178</v>
      </c>
      <c r="G140" s="15" t="s">
        <v>402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42</v>
      </c>
      <c r="M140" s="15" t="n">
        <v>35</v>
      </c>
      <c r="N140" s="15" t="n">
        <v>35</v>
      </c>
      <c r="O140" s="15" t="s">
        <v>581</v>
      </c>
      <c r="P140" s="15" t="s">
        <v>772</v>
      </c>
    </row>
    <row r="141" customFormat="false" ht="23.85" hidden="false" customHeight="false" outlineLevel="0" collapsed="false">
      <c r="A141" s="3" t="n">
        <v>1914</v>
      </c>
      <c r="B141" s="3" t="s">
        <v>186</v>
      </c>
      <c r="C141" s="3" t="s">
        <v>163</v>
      </c>
      <c r="D141" s="3" t="s">
        <v>439</v>
      </c>
      <c r="E141" s="3" t="s">
        <v>580</v>
      </c>
      <c r="F141" s="3" t="s">
        <v>13</v>
      </c>
      <c r="G141" s="3" t="s">
        <v>402</v>
      </c>
      <c r="H141" s="3" t="n">
        <v>17</v>
      </c>
      <c r="I141" s="3" t="n">
        <v>17</v>
      </c>
      <c r="J141" s="3" t="n">
        <v>0</v>
      </c>
      <c r="K141" s="3" t="n">
        <v>2</v>
      </c>
      <c r="L141" s="3" t="n">
        <v>24</v>
      </c>
      <c r="M141" s="3" t="n">
        <v>2</v>
      </c>
      <c r="N141" s="3" t="n">
        <v>2</v>
      </c>
      <c r="O141" s="3"/>
      <c r="P141" s="3" t="s">
        <v>773</v>
      </c>
    </row>
    <row r="142" customFormat="false" ht="23.85" hidden="false" customHeight="false" outlineLevel="0" collapsed="false">
      <c r="A142" s="3" t="n">
        <v>1924</v>
      </c>
      <c r="B142" s="3" t="s">
        <v>190</v>
      </c>
      <c r="C142" s="3" t="s">
        <v>246</v>
      </c>
      <c r="D142" s="3" t="s">
        <v>422</v>
      </c>
      <c r="E142" s="3"/>
      <c r="F142" s="3" t="s">
        <v>13</v>
      </c>
      <c r="G142" s="3" t="s">
        <v>400</v>
      </c>
      <c r="H142" s="3" t="n">
        <v>16</v>
      </c>
      <c r="I142" s="3" t="n">
        <v>16</v>
      </c>
      <c r="J142" s="3" t="n">
        <v>0</v>
      </c>
      <c r="K142" s="3" t="n">
        <v>3</v>
      </c>
      <c r="L142" s="3" t="n">
        <v>49</v>
      </c>
      <c r="M142" s="3" t="n">
        <v>43</v>
      </c>
      <c r="N142" s="3" t="n">
        <v>43</v>
      </c>
      <c r="O142" s="3"/>
      <c r="P142" s="3" t="s">
        <v>774</v>
      </c>
    </row>
    <row r="143" customFormat="false" ht="23.85" hidden="false" customHeight="false" outlineLevel="0" collapsed="false">
      <c r="A143" s="15" t="n">
        <v>1924</v>
      </c>
      <c r="B143" s="15" t="s">
        <v>292</v>
      </c>
      <c r="C143" s="15" t="s">
        <v>293</v>
      </c>
      <c r="D143" s="15" t="s">
        <v>520</v>
      </c>
      <c r="E143" s="15"/>
      <c r="F143" s="15" t="s">
        <v>9</v>
      </c>
      <c r="G143" s="15" t="s">
        <v>402</v>
      </c>
      <c r="H143" s="15" t="n">
        <v>5</v>
      </c>
      <c r="I143" s="15" t="n">
        <v>5</v>
      </c>
      <c r="J143" s="15" t="n">
        <v>0</v>
      </c>
      <c r="K143" s="15" t="n">
        <v>0</v>
      </c>
      <c r="L143" s="15" t="n">
        <v>49</v>
      </c>
      <c r="M143" s="15" t="n">
        <v>49</v>
      </c>
      <c r="N143" s="15" t="n">
        <v>49</v>
      </c>
      <c r="O143" s="15" t="s">
        <v>581</v>
      </c>
      <c r="P143" s="15" t="s">
        <v>775</v>
      </c>
    </row>
    <row r="144" customFormat="false" ht="23.85" hidden="false" customHeight="false" outlineLevel="0" collapsed="false">
      <c r="A144" s="3" t="n">
        <v>1924</v>
      </c>
      <c r="B144" s="3" t="s">
        <v>292</v>
      </c>
      <c r="C144" s="3" t="s">
        <v>295</v>
      </c>
      <c r="D144" s="3" t="s">
        <v>776</v>
      </c>
      <c r="E144" s="3"/>
      <c r="F144" s="3" t="s">
        <v>31</v>
      </c>
      <c r="G144" s="3" t="s">
        <v>404</v>
      </c>
      <c r="H144" s="3" t="n">
        <v>7</v>
      </c>
      <c r="I144" s="3" t="n">
        <v>7</v>
      </c>
      <c r="J144" s="3" t="n">
        <v>0</v>
      </c>
      <c r="K144" s="3" t="n">
        <v>3</v>
      </c>
      <c r="L144" s="3" t="n">
        <v>49</v>
      </c>
      <c r="M144" s="3" t="n">
        <v>49</v>
      </c>
      <c r="N144" s="3" t="n">
        <v>49</v>
      </c>
      <c r="O144" s="3"/>
      <c r="P144" s="3" t="s">
        <v>777</v>
      </c>
    </row>
    <row r="145" customFormat="false" ht="23.85" hidden="false" customHeight="false" outlineLevel="0" collapsed="false">
      <c r="A145" s="3" t="n">
        <v>1924</v>
      </c>
      <c r="B145" s="3" t="s">
        <v>297</v>
      </c>
      <c r="C145" s="3" t="s">
        <v>298</v>
      </c>
      <c r="D145" s="3"/>
      <c r="E145" s="3" t="s">
        <v>627</v>
      </c>
      <c r="F145" s="3" t="s">
        <v>34</v>
      </c>
      <c r="G145" s="3" t="s">
        <v>410</v>
      </c>
      <c r="H145" s="3" t="n">
        <v>1</v>
      </c>
      <c r="I145" s="3" t="n">
        <v>1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/>
      <c r="P145" s="3" t="s">
        <v>778</v>
      </c>
    </row>
    <row r="146" customFormat="false" ht="46.25" hidden="false" customHeight="false" outlineLevel="0" collapsed="false">
      <c r="A146" s="15" t="n">
        <v>1924</v>
      </c>
      <c r="B146" s="15" t="s">
        <v>53</v>
      </c>
      <c r="C146" s="15" t="s">
        <v>304</v>
      </c>
      <c r="D146" s="15" t="s">
        <v>491</v>
      </c>
      <c r="E146" s="15" t="s">
        <v>668</v>
      </c>
      <c r="F146" s="15" t="s">
        <v>13</v>
      </c>
      <c r="G146" s="15" t="s">
        <v>404</v>
      </c>
      <c r="H146" s="15" t="n">
        <v>1</v>
      </c>
      <c r="I146" s="15" t="n">
        <v>1</v>
      </c>
      <c r="J146" s="15" t="n">
        <v>0</v>
      </c>
      <c r="K146" s="15" t="n">
        <v>0</v>
      </c>
      <c r="L146" s="15" t="n">
        <v>52</v>
      </c>
      <c r="M146" s="15" t="n">
        <v>52</v>
      </c>
      <c r="N146" s="15" t="n">
        <v>52</v>
      </c>
      <c r="O146" s="15" t="s">
        <v>581</v>
      </c>
      <c r="P146" s="15" t="s">
        <v>779</v>
      </c>
    </row>
    <row r="147" customFormat="false" ht="35.05" hidden="false" customHeight="false" outlineLevel="0" collapsed="false">
      <c r="A147" s="3" t="n">
        <v>1924</v>
      </c>
      <c r="B147" s="3" t="s">
        <v>23</v>
      </c>
      <c r="C147" s="3" t="s">
        <v>305</v>
      </c>
      <c r="D147" s="3" t="s">
        <v>615</v>
      </c>
      <c r="E147" s="3" t="s">
        <v>780</v>
      </c>
      <c r="F147" s="3" t="s">
        <v>9</v>
      </c>
      <c r="G147" s="3" t="s">
        <v>406</v>
      </c>
      <c r="H147" s="3" t="n">
        <v>6</v>
      </c>
      <c r="I147" s="3" t="n">
        <v>6</v>
      </c>
      <c r="J147" s="3" t="n">
        <v>0</v>
      </c>
      <c r="K147" s="3" t="n">
        <v>0</v>
      </c>
      <c r="L147" s="3" t="n">
        <v>27</v>
      </c>
      <c r="M147" s="3" t="n">
        <v>0</v>
      </c>
      <c r="N147" s="3" t="n">
        <v>0</v>
      </c>
      <c r="O147" s="3"/>
      <c r="P147" s="3" t="s">
        <v>781</v>
      </c>
    </row>
    <row r="148" customFormat="false" ht="35.05" hidden="false" customHeight="false" outlineLevel="0" collapsed="false">
      <c r="A148" s="3" t="n">
        <v>1924</v>
      </c>
      <c r="B148" s="3" t="s">
        <v>53</v>
      </c>
      <c r="C148" s="3" t="s">
        <v>307</v>
      </c>
      <c r="D148" s="3" t="s">
        <v>617</v>
      </c>
      <c r="E148" s="3" t="s">
        <v>693</v>
      </c>
      <c r="F148" s="3" t="s">
        <v>9</v>
      </c>
      <c r="G148" s="3" t="s">
        <v>406</v>
      </c>
      <c r="H148" s="3" t="n">
        <v>11</v>
      </c>
      <c r="I148" s="3" t="n">
        <v>11</v>
      </c>
      <c r="J148" s="3" t="n">
        <v>0</v>
      </c>
      <c r="K148" s="3" t="n">
        <v>0</v>
      </c>
      <c r="L148" s="3" t="n">
        <v>27</v>
      </c>
      <c r="M148" s="3" t="n">
        <v>0</v>
      </c>
      <c r="N148" s="3" t="n">
        <v>0</v>
      </c>
      <c r="O148" s="3"/>
      <c r="P148" s="3" t="s">
        <v>782</v>
      </c>
    </row>
    <row r="149" customFormat="false" ht="23.85" hidden="false" customHeight="false" outlineLevel="0" collapsed="false">
      <c r="A149" s="3" t="n">
        <v>1924</v>
      </c>
      <c r="B149" s="3" t="s">
        <v>102</v>
      </c>
      <c r="C149" s="3" t="s">
        <v>311</v>
      </c>
      <c r="D149" s="3" t="s">
        <v>615</v>
      </c>
      <c r="E149" s="3" t="s">
        <v>588</v>
      </c>
      <c r="F149" s="3" t="s">
        <v>9</v>
      </c>
      <c r="G149" s="3" t="s">
        <v>406</v>
      </c>
      <c r="H149" s="3" t="n">
        <v>42</v>
      </c>
      <c r="I149" s="3" t="n">
        <v>41</v>
      </c>
      <c r="J149" s="3" t="n">
        <v>1</v>
      </c>
      <c r="K149" s="3" t="n">
        <v>0</v>
      </c>
      <c r="L149" s="3" t="n">
        <v>29</v>
      </c>
      <c r="M149" s="3" t="n">
        <v>0</v>
      </c>
      <c r="N149" s="3" t="n">
        <v>0</v>
      </c>
      <c r="O149" s="3"/>
      <c r="P149" s="3" t="s">
        <v>783</v>
      </c>
    </row>
    <row r="150" customFormat="false" ht="23.85" hidden="false" customHeight="false" outlineLevel="0" collapsed="false">
      <c r="A150" s="3" t="n">
        <v>1924</v>
      </c>
      <c r="B150" s="3" t="s">
        <v>313</v>
      </c>
      <c r="C150" s="3" t="s">
        <v>314</v>
      </c>
      <c r="D150" s="3" t="s">
        <v>615</v>
      </c>
      <c r="E150" s="3" t="s">
        <v>588</v>
      </c>
      <c r="F150" s="3" t="s">
        <v>9</v>
      </c>
      <c r="G150" s="3" t="s">
        <v>406</v>
      </c>
      <c r="H150" s="3" t="n">
        <v>20</v>
      </c>
      <c r="I150" s="3" t="n">
        <v>20</v>
      </c>
      <c r="J150" s="3" t="n">
        <v>0</v>
      </c>
      <c r="K150" s="3" t="n">
        <v>0</v>
      </c>
      <c r="L150" s="3" t="n">
        <v>29</v>
      </c>
      <c r="M150" s="3" t="n">
        <v>0</v>
      </c>
      <c r="N150" s="3" t="n">
        <v>0</v>
      </c>
      <c r="O150" s="3"/>
      <c r="P150" s="3" t="s">
        <v>784</v>
      </c>
    </row>
    <row r="151" customFormat="false" ht="23.85" hidden="false" customHeight="false" outlineLevel="0" collapsed="false">
      <c r="A151" s="3" t="n">
        <v>1924</v>
      </c>
      <c r="B151" s="3" t="s">
        <v>301</v>
      </c>
      <c r="C151" s="3" t="s">
        <v>302</v>
      </c>
      <c r="D151" s="3" t="s">
        <v>615</v>
      </c>
      <c r="E151" s="3" t="s">
        <v>631</v>
      </c>
      <c r="F151" s="3" t="s">
        <v>9</v>
      </c>
      <c r="G151" s="3" t="s">
        <v>406</v>
      </c>
      <c r="H151" s="3" t="n">
        <v>8</v>
      </c>
      <c r="I151" s="3" t="n">
        <v>8</v>
      </c>
      <c r="J151" s="3" t="n">
        <v>0</v>
      </c>
      <c r="K151" s="3" t="n">
        <v>0</v>
      </c>
      <c r="L151" s="3" t="n">
        <v>27</v>
      </c>
      <c r="M151" s="3" t="n">
        <v>0</v>
      </c>
      <c r="N151" s="3" t="n">
        <v>0</v>
      </c>
      <c r="O151" s="3"/>
      <c r="P151" s="3" t="s">
        <v>785</v>
      </c>
    </row>
    <row r="152" customFormat="false" ht="23.85" hidden="false" customHeight="false" outlineLevel="0" collapsed="false">
      <c r="A152" s="15" t="n">
        <v>1924</v>
      </c>
      <c r="B152" s="15" t="s">
        <v>278</v>
      </c>
      <c r="C152" s="15" t="s">
        <v>299</v>
      </c>
      <c r="D152" s="15" t="s">
        <v>479</v>
      </c>
      <c r="E152" s="15" t="s">
        <v>700</v>
      </c>
      <c r="F152" s="15" t="s">
        <v>178</v>
      </c>
      <c r="G152" s="15" t="s">
        <v>402</v>
      </c>
      <c r="H152" s="15" t="n">
        <v>0</v>
      </c>
      <c r="I152" s="15" t="n">
        <v>0</v>
      </c>
      <c r="J152" s="15" t="n">
        <v>0</v>
      </c>
      <c r="K152" s="15" t="n">
        <v>0</v>
      </c>
      <c r="L152" s="15" t="n">
        <v>52</v>
      </c>
      <c r="M152" s="15" t="n">
        <v>36</v>
      </c>
      <c r="N152" s="15" t="n">
        <v>36</v>
      </c>
      <c r="O152" s="15" t="s">
        <v>581</v>
      </c>
      <c r="P152" s="15" t="s">
        <v>786</v>
      </c>
    </row>
    <row r="153" customFormat="false" ht="46.25" hidden="false" customHeight="false" outlineLevel="0" collapsed="false">
      <c r="A153" s="15" t="n">
        <v>1924</v>
      </c>
      <c r="B153" s="15" t="s">
        <v>309</v>
      </c>
      <c r="C153" s="15" t="s">
        <v>310</v>
      </c>
      <c r="D153" s="15" t="s">
        <v>482</v>
      </c>
      <c r="E153" s="15" t="s">
        <v>674</v>
      </c>
      <c r="F153" s="15" t="s">
        <v>178</v>
      </c>
      <c r="G153" s="15" t="s">
        <v>402</v>
      </c>
      <c r="H153" s="15" t="n">
        <v>0</v>
      </c>
      <c r="I153" s="15" t="n">
        <v>0</v>
      </c>
      <c r="J153" s="15" t="n">
        <v>0</v>
      </c>
      <c r="K153" s="15" t="n">
        <v>0</v>
      </c>
      <c r="L153" s="15" t="n">
        <v>56</v>
      </c>
      <c r="M153" s="15" t="n">
        <v>45</v>
      </c>
      <c r="N153" s="15" t="n">
        <v>45</v>
      </c>
      <c r="O153" s="15" t="s">
        <v>581</v>
      </c>
      <c r="P153" s="15" t="s">
        <v>787</v>
      </c>
    </row>
    <row r="154" customFormat="false" ht="23.85" hidden="false" customHeight="false" outlineLevel="0" collapsed="false">
      <c r="A154" s="3" t="n">
        <v>1919</v>
      </c>
      <c r="B154" s="3" t="s">
        <v>23</v>
      </c>
      <c r="C154" s="3" t="s">
        <v>205</v>
      </c>
      <c r="D154" s="3"/>
      <c r="E154" s="3" t="s">
        <v>578</v>
      </c>
      <c r="F154" s="3" t="s">
        <v>34</v>
      </c>
      <c r="G154" s="3" t="s">
        <v>410</v>
      </c>
      <c r="H154" s="3" t="n">
        <v>18</v>
      </c>
      <c r="I154" s="3" t="n">
        <v>18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/>
      <c r="P154" s="3" t="s">
        <v>788</v>
      </c>
    </row>
    <row r="155" customFormat="false" ht="23.85" hidden="false" customHeight="false" outlineLevel="0" collapsed="false">
      <c r="A155" s="3" t="n">
        <v>1919</v>
      </c>
      <c r="B155" s="3" t="s">
        <v>53</v>
      </c>
      <c r="C155" s="3" t="s">
        <v>207</v>
      </c>
      <c r="D155" s="3" t="s">
        <v>436</v>
      </c>
      <c r="E155" s="3" t="s">
        <v>586</v>
      </c>
      <c r="F155" s="3" t="s">
        <v>9</v>
      </c>
      <c r="G155" s="3" t="s">
        <v>402</v>
      </c>
      <c r="H155" s="3" t="n">
        <v>8</v>
      </c>
      <c r="I155" s="3" t="n">
        <v>8</v>
      </c>
      <c r="J155" s="3" t="n">
        <v>0</v>
      </c>
      <c r="K155" s="3" t="n">
        <v>1</v>
      </c>
      <c r="L155" s="3" t="n">
        <v>20</v>
      </c>
      <c r="M155" s="3" t="n">
        <v>10</v>
      </c>
      <c r="N155" s="3" t="n">
        <v>10</v>
      </c>
      <c r="O155" s="3"/>
      <c r="P155" s="3" t="s">
        <v>789</v>
      </c>
    </row>
    <row r="156" customFormat="false" ht="23.85" hidden="false" customHeight="false" outlineLevel="0" collapsed="false">
      <c r="A156" s="3" t="n">
        <v>1919</v>
      </c>
      <c r="B156" s="3" t="s">
        <v>23</v>
      </c>
      <c r="C156" s="3" t="s">
        <v>209</v>
      </c>
      <c r="D156" s="3"/>
      <c r="E156" s="3" t="s">
        <v>676</v>
      </c>
      <c r="F156" s="3" t="s">
        <v>13</v>
      </c>
      <c r="G156" s="3" t="s">
        <v>410</v>
      </c>
      <c r="H156" s="3" t="n">
        <v>4</v>
      </c>
      <c r="I156" s="3" t="n">
        <v>4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/>
      <c r="P156" s="3" t="s">
        <v>790</v>
      </c>
    </row>
    <row r="157" customFormat="false" ht="23.85" hidden="false" customHeight="false" outlineLevel="0" collapsed="false">
      <c r="A157" s="3" t="n">
        <v>1919</v>
      </c>
      <c r="B157" s="3" t="s">
        <v>210</v>
      </c>
      <c r="C157" s="3" t="s">
        <v>211</v>
      </c>
      <c r="D157" s="3"/>
      <c r="E157" s="3" t="s">
        <v>693</v>
      </c>
      <c r="F157" s="3" t="s">
        <v>13</v>
      </c>
      <c r="G157" s="3" t="s">
        <v>410</v>
      </c>
      <c r="H157" s="3" t="n">
        <v>34</v>
      </c>
      <c r="I157" s="3" t="n">
        <v>34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/>
      <c r="P157" s="3" t="s">
        <v>791</v>
      </c>
    </row>
    <row r="158" customFormat="false" ht="23.85" hidden="false" customHeight="false" outlineLevel="0" collapsed="false">
      <c r="A158" s="15" t="n">
        <v>1919</v>
      </c>
      <c r="B158" s="15" t="s">
        <v>23</v>
      </c>
      <c r="C158" s="15" t="s">
        <v>211</v>
      </c>
      <c r="D158" s="15" t="s">
        <v>436</v>
      </c>
      <c r="E158" s="15"/>
      <c r="F158" s="15" t="s">
        <v>13</v>
      </c>
      <c r="G158" s="15" t="s">
        <v>402</v>
      </c>
      <c r="H158" s="15" t="n">
        <v>20</v>
      </c>
      <c r="I158" s="15" t="n">
        <v>20</v>
      </c>
      <c r="J158" s="15" t="n">
        <v>0</v>
      </c>
      <c r="K158" s="15" t="n">
        <v>0</v>
      </c>
      <c r="L158" s="15" t="n">
        <v>44</v>
      </c>
      <c r="M158" s="15" t="n">
        <v>44</v>
      </c>
      <c r="N158" s="15" t="n">
        <v>44</v>
      </c>
      <c r="O158" s="15" t="s">
        <v>581</v>
      </c>
      <c r="P158" s="15" t="s">
        <v>792</v>
      </c>
    </row>
    <row r="159" customFormat="false" ht="23.85" hidden="false" customHeight="false" outlineLevel="0" collapsed="false">
      <c r="A159" s="3" t="n">
        <v>1919</v>
      </c>
      <c r="B159" s="3" t="s">
        <v>212</v>
      </c>
      <c r="C159" s="3" t="s">
        <v>213</v>
      </c>
      <c r="D159" s="3" t="s">
        <v>617</v>
      </c>
      <c r="E159" s="3" t="s">
        <v>793</v>
      </c>
      <c r="F159" s="3" t="s">
        <v>9</v>
      </c>
      <c r="G159" s="3" t="s">
        <v>406</v>
      </c>
      <c r="H159" s="3" t="n">
        <v>16</v>
      </c>
      <c r="I159" s="3" t="n">
        <v>16</v>
      </c>
      <c r="J159" s="3" t="n">
        <v>0</v>
      </c>
      <c r="K159" s="3" t="n">
        <v>0</v>
      </c>
      <c r="L159" s="3" t="n">
        <v>27</v>
      </c>
      <c r="M159" s="3" t="n">
        <v>0</v>
      </c>
      <c r="N159" s="3" t="n">
        <v>0</v>
      </c>
      <c r="O159" s="3"/>
      <c r="P159" s="3" t="s">
        <v>794</v>
      </c>
    </row>
    <row r="160" customFormat="false" ht="23.85" hidden="false" customHeight="false" outlineLevel="0" collapsed="false">
      <c r="A160" s="3" t="n">
        <v>1919</v>
      </c>
      <c r="B160" s="3" t="s">
        <v>190</v>
      </c>
      <c r="C160" s="3" t="s">
        <v>191</v>
      </c>
      <c r="D160" s="3" t="s">
        <v>422</v>
      </c>
      <c r="E160" s="3" t="s">
        <v>598</v>
      </c>
      <c r="F160" s="3" t="s">
        <v>13</v>
      </c>
      <c r="G160" s="3" t="s">
        <v>400</v>
      </c>
      <c r="H160" s="3" t="n">
        <v>23</v>
      </c>
      <c r="I160" s="3" t="n">
        <v>23</v>
      </c>
      <c r="J160" s="3" t="n">
        <v>0</v>
      </c>
      <c r="K160" s="3" t="n">
        <v>8</v>
      </c>
      <c r="L160" s="3" t="n">
        <v>60</v>
      </c>
      <c r="M160" s="3" t="n">
        <v>46</v>
      </c>
      <c r="N160" s="3" t="n">
        <v>46</v>
      </c>
      <c r="O160" s="3"/>
      <c r="P160" s="3" t="s">
        <v>795</v>
      </c>
    </row>
    <row r="161" customFormat="false" ht="23.85" hidden="false" customHeight="false" outlineLevel="0" collapsed="false">
      <c r="A161" s="3" t="n">
        <v>1919</v>
      </c>
      <c r="B161" s="3" t="s">
        <v>7</v>
      </c>
      <c r="C161" s="3" t="s">
        <v>204</v>
      </c>
      <c r="D161" s="3" t="s">
        <v>636</v>
      </c>
      <c r="E161" s="3" t="s">
        <v>637</v>
      </c>
      <c r="F161" s="3" t="s">
        <v>13</v>
      </c>
      <c r="G161" s="3" t="s">
        <v>408</v>
      </c>
      <c r="H161" s="3" t="n">
        <v>11</v>
      </c>
      <c r="I161" s="3" t="n">
        <v>3</v>
      </c>
      <c r="J161" s="3" t="n">
        <v>8</v>
      </c>
      <c r="K161" s="3" t="n">
        <v>0</v>
      </c>
      <c r="L161" s="3" t="n">
        <v>10</v>
      </c>
      <c r="M161" s="3" t="n">
        <v>0</v>
      </c>
      <c r="N161" s="3" t="n">
        <v>0</v>
      </c>
      <c r="O161" s="3"/>
      <c r="P161" s="3" t="s">
        <v>796</v>
      </c>
    </row>
    <row r="162" customFormat="false" ht="46.25" hidden="false" customHeight="false" outlineLevel="0" collapsed="false">
      <c r="A162" s="3" t="n">
        <v>1919</v>
      </c>
      <c r="B162" s="3" t="s">
        <v>215</v>
      </c>
      <c r="C162" s="3" t="s">
        <v>216</v>
      </c>
      <c r="D162" s="3" t="s">
        <v>615</v>
      </c>
      <c r="E162" s="3" t="s">
        <v>797</v>
      </c>
      <c r="F162" s="3" t="s">
        <v>9</v>
      </c>
      <c r="G162" s="3" t="s">
        <v>406</v>
      </c>
      <c r="H162" s="3" t="n">
        <v>11</v>
      </c>
      <c r="I162" s="3" t="n">
        <v>11</v>
      </c>
      <c r="J162" s="3" t="n">
        <v>0</v>
      </c>
      <c r="K162" s="3" t="n">
        <v>0</v>
      </c>
      <c r="L162" s="3" t="n">
        <v>29</v>
      </c>
      <c r="M162" s="3" t="n">
        <v>0</v>
      </c>
      <c r="N162" s="3" t="n">
        <v>0</v>
      </c>
      <c r="O162" s="3"/>
      <c r="P162" s="3" t="s">
        <v>798</v>
      </c>
    </row>
    <row r="163" customFormat="false" ht="35.05" hidden="false" customHeight="false" outlineLevel="0" collapsed="false">
      <c r="A163" s="3" t="n">
        <v>1920</v>
      </c>
      <c r="B163" s="3" t="s">
        <v>222</v>
      </c>
      <c r="C163" s="3" t="s">
        <v>223</v>
      </c>
      <c r="D163" s="3" t="s">
        <v>619</v>
      </c>
      <c r="E163" s="3" t="s">
        <v>799</v>
      </c>
      <c r="F163" s="3" t="s">
        <v>34</v>
      </c>
      <c r="G163" s="3" t="s">
        <v>406</v>
      </c>
      <c r="H163" s="3" t="n">
        <v>5</v>
      </c>
      <c r="I163" s="3" t="n">
        <v>5</v>
      </c>
      <c r="J163" s="3" t="n">
        <v>0</v>
      </c>
      <c r="K163" s="3" t="n">
        <v>0</v>
      </c>
      <c r="L163" s="3" t="n">
        <v>30</v>
      </c>
      <c r="M163" s="3" t="n">
        <v>0</v>
      </c>
      <c r="N163" s="3" t="n">
        <v>0</v>
      </c>
      <c r="O163" s="3"/>
      <c r="P163" s="3" t="s">
        <v>800</v>
      </c>
    </row>
    <row r="164" customFormat="false" ht="23.85" hidden="false" customHeight="false" outlineLevel="0" collapsed="false">
      <c r="A164" s="3" t="n">
        <v>1920</v>
      </c>
      <c r="B164" s="3" t="s">
        <v>218</v>
      </c>
      <c r="C164" s="3" t="s">
        <v>219</v>
      </c>
      <c r="D164" s="3"/>
      <c r="E164" s="3"/>
      <c r="F164" s="3" t="s">
        <v>13</v>
      </c>
      <c r="G164" s="3" t="s">
        <v>410</v>
      </c>
      <c r="H164" s="3" t="n">
        <v>5</v>
      </c>
      <c r="I164" s="3" t="n">
        <v>5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/>
      <c r="P164" s="3" t="s">
        <v>801</v>
      </c>
    </row>
    <row r="165" customFormat="false" ht="23.85" hidden="false" customHeight="false" outlineLevel="0" collapsed="false">
      <c r="A165" s="3" t="n">
        <v>1920</v>
      </c>
      <c r="B165" s="3" t="s">
        <v>187</v>
      </c>
      <c r="C165" s="3" t="s">
        <v>225</v>
      </c>
      <c r="D165" s="3"/>
      <c r="E165" s="3" t="s">
        <v>740</v>
      </c>
      <c r="F165" s="3" t="s">
        <v>34</v>
      </c>
      <c r="G165" s="3" t="s">
        <v>410</v>
      </c>
      <c r="H165" s="3" t="n">
        <v>28</v>
      </c>
      <c r="I165" s="3" t="n">
        <v>28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/>
      <c r="P165" s="3" t="s">
        <v>802</v>
      </c>
    </row>
    <row r="166" customFormat="false" ht="23.85" hidden="false" customHeight="false" outlineLevel="0" collapsed="false">
      <c r="A166" s="3" t="n">
        <v>1920</v>
      </c>
      <c r="B166" s="3" t="s">
        <v>187</v>
      </c>
      <c r="C166" s="3" t="s">
        <v>227</v>
      </c>
      <c r="D166" s="3"/>
      <c r="E166" s="3" t="s">
        <v>740</v>
      </c>
      <c r="F166" s="3" t="s">
        <v>13</v>
      </c>
      <c r="G166" s="3" t="s">
        <v>410</v>
      </c>
      <c r="H166" s="3" t="n">
        <v>26</v>
      </c>
      <c r="I166" s="3" t="n">
        <v>26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/>
      <c r="P166" s="3" t="s">
        <v>803</v>
      </c>
    </row>
    <row r="167" customFormat="false" ht="23.85" hidden="false" customHeight="false" outlineLevel="0" collapsed="false">
      <c r="A167" s="3" t="n">
        <v>1920</v>
      </c>
      <c r="B167" s="3" t="s">
        <v>230</v>
      </c>
      <c r="C167" s="3" t="s">
        <v>231</v>
      </c>
      <c r="D167" s="3"/>
      <c r="E167" s="3" t="s">
        <v>804</v>
      </c>
      <c r="F167" s="3" t="s">
        <v>13</v>
      </c>
      <c r="G167" s="3" t="s">
        <v>410</v>
      </c>
      <c r="H167" s="3" t="n">
        <v>5</v>
      </c>
      <c r="I167" s="3" t="n">
        <v>5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/>
      <c r="P167" s="3" t="s">
        <v>805</v>
      </c>
    </row>
    <row r="168" customFormat="false" ht="23.85" hidden="false" customHeight="false" outlineLevel="0" collapsed="false">
      <c r="A168" s="3" t="n">
        <v>1920</v>
      </c>
      <c r="B168" s="3" t="s">
        <v>220</v>
      </c>
      <c r="C168" s="3" t="s">
        <v>221</v>
      </c>
      <c r="D168" s="3" t="s">
        <v>806</v>
      </c>
      <c r="E168" s="3"/>
      <c r="F168" s="3" t="s">
        <v>13</v>
      </c>
      <c r="G168" s="3" t="s">
        <v>406</v>
      </c>
      <c r="H168" s="3" t="n">
        <v>18</v>
      </c>
      <c r="I168" s="3" t="n">
        <v>18</v>
      </c>
      <c r="J168" s="3" t="n">
        <v>0</v>
      </c>
      <c r="K168" s="3" t="n">
        <v>0</v>
      </c>
      <c r="L168" s="3" t="n">
        <v>30</v>
      </c>
      <c r="M168" s="3" t="n">
        <v>0</v>
      </c>
      <c r="N168" s="3" t="n">
        <v>0</v>
      </c>
      <c r="O168" s="3"/>
      <c r="P168" s="3" t="s">
        <v>807</v>
      </c>
    </row>
    <row r="169" customFormat="false" ht="23.85" hidden="false" customHeight="false" outlineLevel="0" collapsed="false">
      <c r="A169" s="3" t="n">
        <v>1920</v>
      </c>
      <c r="B169" s="3" t="s">
        <v>168</v>
      </c>
      <c r="C169" s="3" t="s">
        <v>232</v>
      </c>
      <c r="D169" s="3" t="s">
        <v>615</v>
      </c>
      <c r="E169" s="3" t="s">
        <v>797</v>
      </c>
      <c r="F169" s="3" t="s">
        <v>9</v>
      </c>
      <c r="G169" s="3" t="s">
        <v>406</v>
      </c>
      <c r="H169" s="3" t="n">
        <v>11</v>
      </c>
      <c r="I169" s="3" t="n">
        <v>11</v>
      </c>
      <c r="J169" s="3" t="n">
        <v>0</v>
      </c>
      <c r="K169" s="3" t="n">
        <v>0</v>
      </c>
      <c r="L169" s="3" t="n">
        <v>29</v>
      </c>
      <c r="M169" s="3" t="n">
        <v>0</v>
      </c>
      <c r="N169" s="3" t="n">
        <v>0</v>
      </c>
      <c r="O169" s="3"/>
      <c r="P169" s="3" t="s">
        <v>808</v>
      </c>
    </row>
    <row r="170" customFormat="false" ht="23.85" hidden="false" customHeight="false" outlineLevel="0" collapsed="false">
      <c r="A170" s="3" t="n">
        <v>1920</v>
      </c>
      <c r="B170" s="3" t="s">
        <v>228</v>
      </c>
      <c r="C170" s="3" t="s">
        <v>229</v>
      </c>
      <c r="D170" s="3"/>
      <c r="E170" s="3" t="s">
        <v>631</v>
      </c>
      <c r="F170" s="3" t="s">
        <v>13</v>
      </c>
      <c r="G170" s="3" t="s">
        <v>410</v>
      </c>
      <c r="H170" s="3" t="n">
        <v>20</v>
      </c>
      <c r="I170" s="3" t="n">
        <v>17</v>
      </c>
      <c r="J170" s="3" t="n">
        <v>3</v>
      </c>
      <c r="K170" s="3" t="n">
        <v>0</v>
      </c>
      <c r="L170" s="3" t="n">
        <v>0</v>
      </c>
      <c r="M170" s="3" t="n">
        <v>0</v>
      </c>
      <c r="N170" s="3" t="n">
        <v>0</v>
      </c>
      <c r="O170" s="3"/>
      <c r="P170" s="3" t="s">
        <v>809</v>
      </c>
    </row>
    <row r="171" customFormat="false" ht="46.25" hidden="false" customHeight="false" outlineLevel="0" collapsed="false">
      <c r="A171" s="3" t="n">
        <v>1921</v>
      </c>
      <c r="B171" s="3" t="s">
        <v>190</v>
      </c>
      <c r="C171" s="3" t="s">
        <v>234</v>
      </c>
      <c r="D171" s="3" t="s">
        <v>422</v>
      </c>
      <c r="E171" s="3" t="s">
        <v>810</v>
      </c>
      <c r="F171" s="3" t="s">
        <v>9</v>
      </c>
      <c r="G171" s="3" t="s">
        <v>400</v>
      </c>
      <c r="H171" s="3" t="n">
        <v>11</v>
      </c>
      <c r="I171" s="3" t="n">
        <v>11</v>
      </c>
      <c r="J171" s="3" t="n">
        <v>0</v>
      </c>
      <c r="K171" s="3" t="n">
        <v>7</v>
      </c>
      <c r="L171" s="3" t="n">
        <v>59</v>
      </c>
      <c r="M171" s="3" t="n">
        <v>54</v>
      </c>
      <c r="N171" s="3" t="n">
        <v>54</v>
      </c>
      <c r="O171" s="3"/>
      <c r="P171" s="3" t="s">
        <v>811</v>
      </c>
    </row>
    <row r="172" customFormat="false" ht="35.05" hidden="false" customHeight="false" outlineLevel="0" collapsed="false">
      <c r="A172" s="3" t="n">
        <v>1921</v>
      </c>
      <c r="B172" s="3" t="s">
        <v>190</v>
      </c>
      <c r="C172" s="3" t="s">
        <v>236</v>
      </c>
      <c r="D172" s="3" t="s">
        <v>422</v>
      </c>
      <c r="E172" s="3" t="s">
        <v>693</v>
      </c>
      <c r="F172" s="3" t="s">
        <v>31</v>
      </c>
      <c r="G172" s="3" t="s">
        <v>400</v>
      </c>
      <c r="H172" s="3" t="n">
        <v>10</v>
      </c>
      <c r="I172" s="3" t="n">
        <v>10</v>
      </c>
      <c r="J172" s="3" t="n">
        <v>0</v>
      </c>
      <c r="K172" s="3" t="n">
        <v>5</v>
      </c>
      <c r="L172" s="3" t="n">
        <v>34</v>
      </c>
      <c r="M172" s="3" t="n">
        <v>18</v>
      </c>
      <c r="N172" s="3" t="n">
        <v>18</v>
      </c>
      <c r="O172" s="3"/>
      <c r="P172" s="3" t="s">
        <v>812</v>
      </c>
    </row>
    <row r="173" customFormat="false" ht="23.85" hidden="false" customHeight="false" outlineLevel="0" collapsed="false">
      <c r="A173" s="3" t="n">
        <v>1921</v>
      </c>
      <c r="B173" s="3" t="s">
        <v>238</v>
      </c>
      <c r="C173" s="3" t="s">
        <v>239</v>
      </c>
      <c r="D173" s="3" t="s">
        <v>615</v>
      </c>
      <c r="E173" s="3" t="s">
        <v>813</v>
      </c>
      <c r="F173" s="3" t="s">
        <v>9</v>
      </c>
      <c r="G173" s="3" t="s">
        <v>406</v>
      </c>
      <c r="H173" s="3" t="n">
        <v>20</v>
      </c>
      <c r="I173" s="3" t="n">
        <v>19</v>
      </c>
      <c r="J173" s="3" t="n">
        <v>1</v>
      </c>
      <c r="K173" s="3" t="n">
        <v>0</v>
      </c>
      <c r="L173" s="3" t="n">
        <v>29</v>
      </c>
      <c r="M173" s="3" t="n">
        <v>0</v>
      </c>
      <c r="N173" s="3" t="n">
        <v>0</v>
      </c>
      <c r="O173" s="3"/>
      <c r="P173" s="3" t="s">
        <v>814</v>
      </c>
    </row>
    <row r="174" customFormat="false" ht="35.05" hidden="false" customHeight="false" outlineLevel="0" collapsed="false">
      <c r="A174" s="3" t="n">
        <v>1921</v>
      </c>
      <c r="B174" s="3" t="s">
        <v>23</v>
      </c>
      <c r="C174" s="3" t="s">
        <v>241</v>
      </c>
      <c r="D174" s="3" t="s">
        <v>482</v>
      </c>
      <c r="E174" s="3" t="s">
        <v>596</v>
      </c>
      <c r="F174" s="3" t="s">
        <v>31</v>
      </c>
      <c r="G174" s="3" t="s">
        <v>402</v>
      </c>
      <c r="H174" s="3" t="n">
        <v>2</v>
      </c>
      <c r="I174" s="3" t="n">
        <v>2</v>
      </c>
      <c r="J174" s="3" t="n">
        <v>0</v>
      </c>
      <c r="K174" s="3" t="n">
        <v>1</v>
      </c>
      <c r="L174" s="3" t="n">
        <v>56</v>
      </c>
      <c r="M174" s="3" t="n">
        <v>45</v>
      </c>
      <c r="N174" s="3" t="n">
        <v>45</v>
      </c>
      <c r="O174" s="3"/>
      <c r="P174" s="3" t="s">
        <v>815</v>
      </c>
    </row>
    <row r="175" customFormat="false" ht="23.85" hidden="false" customHeight="false" outlineLevel="0" collapsed="false">
      <c r="A175" s="3" t="n">
        <v>1921</v>
      </c>
      <c r="B175" s="3" t="s">
        <v>23</v>
      </c>
      <c r="C175" s="3" t="s">
        <v>243</v>
      </c>
      <c r="D175" s="3" t="s">
        <v>653</v>
      </c>
      <c r="E175" s="3"/>
      <c r="F175" s="3" t="s">
        <v>9</v>
      </c>
      <c r="G175" s="3" t="s">
        <v>406</v>
      </c>
      <c r="H175" s="3" t="n">
        <v>44</v>
      </c>
      <c r="I175" s="3" t="n">
        <v>44</v>
      </c>
      <c r="J175" s="3" t="n">
        <v>0</v>
      </c>
      <c r="K175" s="3" t="n">
        <v>0</v>
      </c>
      <c r="L175" s="3" t="n">
        <v>27</v>
      </c>
      <c r="M175" s="3" t="n">
        <v>0</v>
      </c>
      <c r="N175" s="3" t="n">
        <v>0</v>
      </c>
      <c r="O175" s="3"/>
      <c r="P175" s="3" t="s">
        <v>816</v>
      </c>
    </row>
    <row r="176" customFormat="false" ht="35.05" hidden="false" customHeight="false" outlineLevel="0" collapsed="false">
      <c r="A176" s="3" t="n">
        <v>1921</v>
      </c>
      <c r="B176" s="3" t="s">
        <v>23</v>
      </c>
      <c r="C176" s="3" t="s">
        <v>245</v>
      </c>
      <c r="D176" s="3" t="s">
        <v>619</v>
      </c>
      <c r="E176" s="3" t="s">
        <v>817</v>
      </c>
      <c r="F176" s="3" t="s">
        <v>178</v>
      </c>
      <c r="G176" s="3" t="s">
        <v>406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30</v>
      </c>
      <c r="M176" s="3" t="n">
        <v>0</v>
      </c>
      <c r="N176" s="3" t="n">
        <v>0</v>
      </c>
      <c r="O176" s="3"/>
      <c r="P176" s="3" t="s">
        <v>818</v>
      </c>
    </row>
  </sheetData>
  <autoFilter ref="A1:P1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2026-06-13T07:40:24Z</dcterms:created>
  <dc:creator>openpyxl</dc:creator>
  <dc:description/>
  <dc:language>en-US</dc:language>
  <cp:lastModifiedBy/>
  <dcterms:modified xsi:type="dcterms:W3CDTF">2026-06-13T08:42:29Z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